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https://jnj-my.sharepoint.com/personal/aasif4_its_jnj_com/Documents/Documents/Look Up Tool/"/>
    </mc:Choice>
  </mc:AlternateContent>
  <xr:revisionPtr revIDLastSave="757" documentId="11_F25DC773A252ABDACC10486271DF6EBE5BDE58F1" xr6:coauthVersionLast="47" xr6:coauthVersionMax="47" xr10:uidLastSave="{9CA30F5B-5DD0-4533-AD2E-CFD9FFFA3D7A}"/>
  <bookViews>
    <workbookView xWindow="-120" yWindow="-120" windowWidth="29040" windowHeight="15720" xr2:uid="{00000000-000D-0000-FFFF-FFFF00000000}"/>
  </bookViews>
  <sheets>
    <sheet name="Sheet1" sheetId="4" r:id="rId1"/>
    <sheet name="Sheet3"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1" i="3" l="1"/>
  <c r="H1" i="3"/>
  <c r="E1" i="3"/>
  <c r="B1" i="3"/>
</calcChain>
</file>

<file path=xl/sharedStrings.xml><?xml version="1.0" encoding="utf-8"?>
<sst xmlns="http://schemas.openxmlformats.org/spreadsheetml/2006/main" count="1390" uniqueCount="938">
  <si>
    <t>Product Name</t>
  </si>
  <si>
    <t>EU MDR Class</t>
  </si>
  <si>
    <t>WCH TD Number</t>
  </si>
  <si>
    <t>BUDI-DIs</t>
  </si>
  <si>
    <t>SSCP</t>
  </si>
  <si>
    <t>IFU</t>
  </si>
  <si>
    <t>PIL</t>
  </si>
  <si>
    <t>CER</t>
  </si>
  <si>
    <t>Notes</t>
  </si>
  <si>
    <t>SKYLINE Anterior Cervical Plate System Implants</t>
  </si>
  <si>
    <t>IIb</t>
  </si>
  <si>
    <t>TD32004</t>
  </si>
  <si>
    <t>0705034a002215N
0705034a002225Q</t>
  </si>
  <si>
    <t>501260374 (IFU-090290163)</t>
  </si>
  <si>
    <t>n/a (Screws and plates)</t>
  </si>
  <si>
    <t>EXPEDIUM Spine System Implants</t>
  </si>
  <si>
    <t>IIb WET</t>
  </si>
  <si>
    <t>TD32044</t>
  </si>
  <si>
    <t>0705034a0015766
0705034a001596A
0705034a001615V
0705034a001635Z
0705034a0016463
0705034a0016667
0705034a001686B
0705034a002496C</t>
  </si>
  <si>
    <t>501007266
(eIFU-0902-90-198)</t>
  </si>
  <si>
    <t>n/a (screws, plates and/or connectors)</t>
  </si>
  <si>
    <t>GLOBALTM APG Shoulder System</t>
  </si>
  <si>
    <t>III</t>
  </si>
  <si>
    <t>MDR-SH-06</t>
  </si>
  <si>
    <t>0603295a002598Z</t>
  </si>
  <si>
    <t>Medicated Bone Cements</t>
  </si>
  <si>
    <t>MDR-CMW-STED608</t>
  </si>
  <si>
    <t>DOC_MDR-CMW-STED608</t>
  </si>
  <si>
    <t>0603295a0010483
0603295a0010585
0603295a0010687
0603295a0010789
0603295a001037Z
0603295a001098D
0603295a001088B</t>
  </si>
  <si>
    <t xml:space="preserve">3105040
3315020
3315040
3325020
3325040
3335020
3335040
3005050
3005080
3095020
3095040
8195060
8195080
</t>
  </si>
  <si>
    <t>103739724
103785203
103785215
103785232
103785234
103785226
103785237</t>
  </si>
  <si>
    <t>eIFU-501350249
eIFU-501350186
eIFU-501350247</t>
  </si>
  <si>
    <t>C-Stem AMT Hip Prosthesis</t>
  </si>
  <si>
    <t>MDR-LDS-STED028</t>
  </si>
  <si>
    <t>DOC_MDR-LDS-STED028</t>
  </si>
  <si>
    <t>0603295a000538B</t>
  </si>
  <si>
    <t>103694239 (IFU-0902-60-029)</t>
  </si>
  <si>
    <t xml:space="preserve">103720549 (PIL-0902-60-039) </t>
  </si>
  <si>
    <t xml:space="preserve">Marathon XLPE Cemented Cup </t>
  </si>
  <si>
    <t>MDR-LDS-STED033</t>
  </si>
  <si>
    <t>DOC_MDR-LDS-STED033</t>
  </si>
  <si>
    <t>0603295a0021083</t>
  </si>
  <si>
    <t>103819745 (IFU-0902-60-089)</t>
  </si>
  <si>
    <t>103820878 (PIL-0902-60-090)</t>
  </si>
  <si>
    <t>CORAIL Revision Hip Prosthesis</t>
  </si>
  <si>
    <t>MDR-LDS-STED053</t>
  </si>
  <si>
    <t>DOC_MDR-LDS-STED053</t>
  </si>
  <si>
    <t>0603295a002068C</t>
  </si>
  <si>
    <t>103827908  (IFU-0902-60-092)</t>
  </si>
  <si>
    <t>103829350 (PIL-0902-60-094)</t>
  </si>
  <si>
    <t>CORAIL CEMENTED Hip Prosthesis</t>
  </si>
  <si>
    <t>MDR-LDS-STED054</t>
  </si>
  <si>
    <t>DOC_MDR-LDS-STED054</t>
  </si>
  <si>
    <t xml:space="preserve"> 0603295a002078E</t>
  </si>
  <si>
    <t>103815503 (IFU-0902-60-091)</t>
  </si>
  <si>
    <t>103829486 (PIL-0902-60-094)</t>
  </si>
  <si>
    <t>CORAIL AMT Hip Prosthesis</t>
  </si>
  <si>
    <t>MDR-LDS-STED055</t>
  </si>
  <si>
    <t>DOC_MDR-LDS-STED055</t>
  </si>
  <si>
    <t>0603295a002088G
0603295a002098J</t>
  </si>
  <si>
    <t>103833171 (IFU-0902-60-093)</t>
  </si>
  <si>
    <t>DELTA XTEND™ Shoulder Prosthesis
Class III Implants</t>
  </si>
  <si>
    <t xml:space="preserve">MDR-SH-04 </t>
  </si>
  <si>
    <t>DOC_MDR-SH-04</t>
  </si>
  <si>
    <r>
      <t>0603295a000858Q
0603295a000848N
0603295a000858Q
0603295a000868S
0603295a000878U
0603295a000888W
0603295a000898Y</t>
    </r>
    <r>
      <rPr>
        <sz val="11"/>
        <color theme="8" tint="0.39997558519241921"/>
        <rFont val="Calibri"/>
        <family val="2"/>
        <scheme val="minor"/>
      </rPr>
      <t>**</t>
    </r>
    <r>
      <rPr>
        <sz val="11"/>
        <color theme="1"/>
        <rFont val="Calibri"/>
        <family val="2"/>
        <scheme val="minor"/>
      </rPr>
      <t xml:space="preserve">
0603295a000908H
0603295a000918K
0603295a000928M</t>
    </r>
  </si>
  <si>
    <t>501133367
103770996</t>
  </si>
  <si>
    <t>103754430 (eIFU-0902-60-037)
501313993 (eIFU-090260176)</t>
  </si>
  <si>
    <t>501213707 (ePIL-0902-60-038)
501314460 (ePIL-0902-60-177)</t>
  </si>
  <si>
    <t>DELTA XTEND™ Shoulder Prosthesis
Class IIb WET Implants</t>
  </si>
  <si>
    <t>MDR-SH-05</t>
  </si>
  <si>
    <t>DOC_MDR-SH-05</t>
  </si>
  <si>
    <r>
      <rPr>
        <sz val="11"/>
        <color theme="1"/>
        <rFont val="Calibri"/>
        <family val="2"/>
        <scheme val="minor"/>
      </rPr>
      <t>0603295a000898Y</t>
    </r>
    <r>
      <rPr>
        <sz val="11"/>
        <color theme="8" tint="0.39997558519241921"/>
        <rFont val="Calibri"/>
        <family val="2"/>
        <scheme val="minor"/>
      </rPr>
      <t>**</t>
    </r>
  </si>
  <si>
    <t>103754430, 
eIFU-0902-60-037</t>
  </si>
  <si>
    <t>n/a (WET device)</t>
  </si>
  <si>
    <t>GLOBAL ICON™ Stemless Shoulder System</t>
  </si>
  <si>
    <t>MDR-SH-09</t>
  </si>
  <si>
    <t>DOC_MDR-SH-09</t>
  </si>
  <si>
    <t>0603295a000698S
0603295a000688Q</t>
  </si>
  <si>
    <t>103805023 (IFU-0902-60-060)</t>
  </si>
  <si>
    <t>103805159
ePIL-0902-60-061</t>
  </si>
  <si>
    <t>PFC SIGMA Total Knee System</t>
  </si>
  <si>
    <t>MDR-WRS-STED367</t>
  </si>
  <si>
    <t>DOC_MDR-WRS-STED367</t>
  </si>
  <si>
    <t>0603295a002158D
0603295a002168F</t>
  </si>
  <si>
    <t>IFU-0902-60-064 (103847266)</t>
  </si>
  <si>
    <t>PIL-0902-60-065</t>
  </si>
  <si>
    <t>103478684
103345206</t>
  </si>
  <si>
    <t>ACTIS DUOFIX Hip Prosthesis</t>
  </si>
  <si>
    <t>MDR-WRS-STED378</t>
  </si>
  <si>
    <t>DOC_MDR-WRS-STED378</t>
  </si>
  <si>
    <t>0603295a002528K</t>
  </si>
  <si>
    <t>501305722 (IFU-090260067)</t>
  </si>
  <si>
    <t xml:space="preserve">	501305727 (PIL-090260068)</t>
  </si>
  <si>
    <t>SIGMA HP Partial Knee System</t>
  </si>
  <si>
    <t>MDR-WRS-STED386</t>
  </si>
  <si>
    <t>DOC_MDR-WRS-STED386</t>
  </si>
  <si>
    <t>0603295a003198S
0603295a003208B
0603295a003218D</t>
  </si>
  <si>
    <t>500979887 (IFU-090260072)</t>
  </si>
  <si>
    <t>501399588 (PIL-090260181)
501400122 (PIL-090260180)
500980121 (PIL-090260073)</t>
  </si>
  <si>
    <t>MILAGRO™ Advance Interference Screw System</t>
  </si>
  <si>
    <t>MDR-STR-09</t>
  </si>
  <si>
    <t>0886705a00027KB</t>
  </si>
  <si>
    <t>501144555 (IFU-151345)</t>
  </si>
  <si>
    <t>n/a (screws)</t>
  </si>
  <si>
    <t>LUPINE™ BR Anchor System</t>
  </si>
  <si>
    <t>MDR-STR-23</t>
  </si>
  <si>
    <t>0886705a00077KS</t>
  </si>
  <si>
    <t>IFU-182343 (501139250)</t>
  </si>
  <si>
    <t>501139358
ePIL-182343</t>
  </si>
  <si>
    <t>SPEEDTRAP™
Graft Preparation System</t>
  </si>
  <si>
    <t>MDR-STR-34</t>
  </si>
  <si>
    <t>0886705a00076KQ</t>
  </si>
  <si>
    <t>501184246 (IFU-182344)</t>
  </si>
  <si>
    <t>n/a (suture)</t>
  </si>
  <si>
    <t>INTRAFIX™ ADVANCE BIOCRYL RAPIDE™ Tibial Sheath and Screw System</t>
  </si>
  <si>
    <t>MDR-STR-22</t>
  </si>
  <si>
    <t>0886705a00057KL</t>
  </si>
  <si>
    <t>IFU-135791 (501139253)</t>
  </si>
  <si>
    <t xml:space="preserve"> 501140325
135791-ePIL</t>
  </si>
  <si>
    <t>Latarjet EXPERIENCE Instability Shoulder implants</t>
  </si>
  <si>
    <t>MDR-STR-45</t>
  </si>
  <si>
    <t>0886705a00051K8</t>
  </si>
  <si>
    <t>501151855 (IFU-151514)</t>
  </si>
  <si>
    <t>INTRAFIX™ ADVANCE Tibial Fastener System</t>
  </si>
  <si>
    <t>MDR-STR-20</t>
  </si>
  <si>
    <t>0886705a00054KE</t>
  </si>
  <si>
    <t>501145466 (IFU-182025)</t>
  </si>
  <si>
    <t>501145467
182025-ePIL</t>
  </si>
  <si>
    <t>MILAGRO™ BR Interference Screw System</t>
  </si>
  <si>
    <t>MDR-STR-27</t>
  </si>
  <si>
    <t>0886705a00079KW</t>
  </si>
  <si>
    <t>501154757 (IFU-123237)</t>
  </si>
  <si>
    <t>DYNATAPE™ SUTURE</t>
  </si>
  <si>
    <t>MDR-STR-63</t>
  </si>
  <si>
    <t>0886705a00083KM</t>
  </si>
  <si>
    <t>501156338 (IFU-156734)</t>
  </si>
  <si>
    <t>156734-ePIL
/501156999</t>
  </si>
  <si>
    <t>RIGIDLOOP™ Adjustable Cortical Fixation System</t>
  </si>
  <si>
    <t>MDR-STR-32</t>
  </si>
  <si>
    <t>0886705a00093KQ</t>
  </si>
  <si>
    <t>IFU-156944</t>
  </si>
  <si>
    <t>HEALIX ADVANCE™ 
PEEK Anchor with DYNATAPE™ Suture</t>
  </si>
  <si>
    <t>MDR-STR-64</t>
  </si>
  <si>
    <t>0886705a00084KP</t>
  </si>
  <si>
    <t>501138050 (IFU-157033)</t>
  </si>
  <si>
    <t>501138062
ePIL-157033</t>
  </si>
  <si>
    <t>EXPEDIUM PEEK Rods and Set Screws and VIPER Semi-Constrained Screws</t>
  </si>
  <si>
    <t>TD32082</t>
  </si>
  <si>
    <t>0705034a002265Y
0705034a0022762
0705034a0022864</t>
  </si>
  <si>
    <t>501237762 (IFU-090290326)</t>
  </si>
  <si>
    <t>n/a (rods and screws)</t>
  </si>
  <si>
    <t>Healix Advance™ Knotless PEEK Anchors</t>
  </si>
  <si>
    <t>MDR-STR-17</t>
  </si>
  <si>
    <t>0886705a00086KT</t>
  </si>
  <si>
    <t>501143760 (IFU-157032)</t>
  </si>
  <si>
    <t>n/a</t>
  </si>
  <si>
    <t>HEALIX ADVANCE™ BR Anchor with DYNACORD™</t>
  </si>
  <si>
    <t>MDR-STR-55</t>
  </si>
  <si>
    <t>0886705a00025K7</t>
  </si>
  <si>
    <t>IFU-156423 (501182382)</t>
  </si>
  <si>
    <t>501432251
156423-ePIL</t>
  </si>
  <si>
    <t>TISSUE ANCHOR SYSTEMS:
MINILOK™ QUICKANCHOR™ PLUS and 
MICROFIX™ QUICKANCHOR™ PLUS</t>
  </si>
  <si>
    <t>MDR-STR-29</t>
  </si>
  <si>
    <t>0886705a00055KG
0886705a00056KJ</t>
  </si>
  <si>
    <t>501010969
501010976</t>
  </si>
  <si>
    <t>501142293 (IFU-156760)
501142297 (IFU-157987)</t>
  </si>
  <si>
    <t>n/a (pins and sutures)</t>
  </si>
  <si>
    <t>HEALIX ADVANCE™ PEEK ANCHOR WITH DYNACORD™</t>
  </si>
  <si>
    <t>MDR-STR-51</t>
  </si>
  <si>
    <t>0886705a00081KH</t>
  </si>
  <si>
    <t>501171447 (IFU-156424)</t>
  </si>
  <si>
    <t>501382443
Content Review_ePIL-156424</t>
  </si>
  <si>
    <t>GRYPHON™ PEEK Anchor with DYNACORD™</t>
  </si>
  <si>
    <t>MDR-STR-53</t>
  </si>
  <si>
    <t>0886705a00082KK</t>
  </si>
  <si>
    <t>501179179 (IFU-156427)</t>
  </si>
  <si>
    <t>501421020
ePIL-156427</t>
  </si>
  <si>
    <t>GRYPHON™ BR Anchor with DYNACORD™ Suture</t>
  </si>
  <si>
    <t>MDR-STR-56</t>
  </si>
  <si>
    <t>0886705a00050K6</t>
  </si>
  <si>
    <t>IFU-156426 (501179214)</t>
  </si>
  <si>
    <t>501421027
ePIL-156426</t>
  </si>
  <si>
    <t>HEALIX ADVANCE™ Knotless BR Anchor with ORTHOCORD™ Suture</t>
  </si>
  <si>
    <t>MDR-STR-18</t>
  </si>
  <si>
    <t>0886705a00062KD</t>
  </si>
  <si>
    <t>IFU-186091 (501144520)</t>
  </si>
  <si>
    <t xml:space="preserve">Non-Medicated Bone Cements </t>
  </si>
  <si>
    <t>MDR-CMW-STED605</t>
  </si>
  <si>
    <t>DOC_MDR-CMW-STED605</t>
  </si>
  <si>
    <t>0603295a002618L
0603295a002628N 
0603295a002638Q 
0603295a002648S
0603295a002668W
0603295a002658U
0603295a002678Y</t>
  </si>
  <si>
    <t>3312020
3312040
3322020
3322040
3332040
3092020
3092040
3102040
2002050
2002080
8192060
8192080</t>
  </si>
  <si>
    <t xml:space="preserve">103900820
103900836 
103900809
103900814 
103900818
103900823 
103900827 </t>
  </si>
  <si>
    <t>eIFU-501471241
eIFU-501471242
eIFU-501471240</t>
  </si>
  <si>
    <t>ELITE Femoral Heads</t>
  </si>
  <si>
    <t>MDR-LDS-STED032</t>
  </si>
  <si>
    <t>DOC_MDR-LDS-STED032</t>
  </si>
  <si>
    <t>0603295a003298V</t>
  </si>
  <si>
    <t>962529000
962567000
962572000
962573000
962574000
962575000
962730000
962731000
962734000
962735000
962747000</t>
  </si>
  <si>
    <t>501076319 (IFU-0902-60-135)</t>
  </si>
  <si>
    <t>501080503 (PIL-0902-60-136)</t>
  </si>
  <si>
    <t>Ancillary Implants, Hip</t>
  </si>
  <si>
    <t>MDR-LDS-STED083</t>
  </si>
  <si>
    <t>DOC_MDR-LDS-STED083</t>
  </si>
  <si>
    <t>0603295a004048J
0603295a004058L
0603295a004068N
0603295a004078Q
0603295a004088S
0603295a004098U
0603295a004108D</t>
  </si>
  <si>
    <t>121708500
121715500
121720500
121725500
121730500
121735500
121740500
121745500
121750500
121755500
121760500
121765500
121770500
121710150
121710154
121710158
121710162
121710166
121710170
121715250
121715254
121715258
121715262
121715266
121715270
121720350
121720354
121720358
121720362
121720366
121720370
121730450
121730454
121730458
121730462
121730466
121730470
121700156
121700162
121700168
121700256
121700262
121700268
121700356
121700362
121700368
121700105
121700110
121700115</t>
  </si>
  <si>
    <t>501146406 (IFU-090260147)</t>
  </si>
  <si>
    <t>103482144
501105962</t>
  </si>
  <si>
    <t>Listed as IIb in master tracker and master SSCP list, but as IIb WET in TD and TD Appendix</t>
  </si>
  <si>
    <t>Ancillary Implants, Hip, Non-Wet</t>
  </si>
  <si>
    <t>MDR-LDS-STED085</t>
  </si>
  <si>
    <t>DOC_MDR-LDS-STED085</t>
  </si>
  <si>
    <t>0603295a003288T
0603295a003258M
0603295a003268P
0603295a003248K
0603295a003278R
0603295a003238H</t>
  </si>
  <si>
    <t>137648000
137647000
137646000
137638000
137637000
137629000
137622000
137621000
137620000
137636000
137627000
137626000
137630000
546022000
546020000
546018000
546016000
546014000
546012000
546010000
546112000
546110000
961210500
961212500
961214500
961216500
961218500
961220500
961226000
961246000
1042986220</t>
  </si>
  <si>
    <t>501006026 (IFU-0902-60-118)
501006026 (IFU-0902-60-118)</t>
  </si>
  <si>
    <t>(501007217) PIL-0902-60-119
(500990605) PIL-0902-60-107</t>
  </si>
  <si>
    <t>103482144
501087634</t>
  </si>
  <si>
    <t>GII QUICKANCHOR PLUS</t>
  </si>
  <si>
    <t>MDR-STR-05</t>
  </si>
  <si>
    <t>0886705a00003JV
0886705a00015K4</t>
  </si>
  <si>
    <t>212034
222983</t>
  </si>
  <si>
    <t>103643272
103757488</t>
  </si>
  <si>
    <t>501117215 (IFU-149952)</t>
  </si>
  <si>
    <t>n/a (sutures and screws)</t>
  </si>
  <si>
    <t>HEALIX ADVANCE™ BR Anchor with ORTHOCORD™</t>
  </si>
  <si>
    <t>MDR-STR-07</t>
  </si>
  <si>
    <t>DOC_MDR-STR-07</t>
  </si>
  <si>
    <t>0886705a00032K4</t>
  </si>
  <si>
    <t>222295
222296
222297
222298
222299
222300
222301
222302
222319
222320
222323
222324</t>
  </si>
  <si>
    <t>RIGIDFIX™ Cross Pin System </t>
  </si>
  <si>
    <t>MDR-STR-11</t>
  </si>
  <si>
    <t>0886705a00038KG
0886705a00036KC
0886705a00037KE
0886705a00040K3</t>
  </si>
  <si>
    <t>210127
210133
210816
213013</t>
  </si>
  <si>
    <t>103827814
103778470</t>
  </si>
  <si>
    <t>501145693 (IFU-137407)
501145690 (IFU 107242)
501145692 (IFU-123457)</t>
  </si>
  <si>
    <t>n/a (pins)</t>
  </si>
  <si>
    <t>Gryphon BR Anchor w/ORTHOCORD™
Gryphon BR Anchor w/ProKnot™</t>
  </si>
  <si>
    <t>MDR-STR-16</t>
  </si>
  <si>
    <t>DOC_MDR-STR-16</t>
  </si>
  <si>
    <t>0886705a00048KK
0886705a00049KM</t>
  </si>
  <si>
    <t>210820
210813
210814</t>
  </si>
  <si>
    <t>501143750 (IFU-182341)
501143752 (IFU-182342)</t>
  </si>
  <si>
    <t>TRUESPAN™ Meniscal Repair System PEEK</t>
  </si>
  <si>
    <t>MDR-STR-48</t>
  </si>
  <si>
    <t>DOC_MDR-STR-48</t>
  </si>
  <si>
    <t>0886705a00016K6</t>
  </si>
  <si>
    <t>228150
228151
228152</t>
  </si>
  <si>
    <t>501086466  (IFU-151307)</t>
  </si>
  <si>
    <t>LPS Limb Preservation system</t>
  </si>
  <si>
    <t>MDR-WRS-STED358</t>
  </si>
  <si>
    <t>DOC_MDR-WRS-STED358</t>
  </si>
  <si>
    <t>0603295a0029697
0603295a0029799
0603295a002989B
0603295a002999D
0603295a0030085
0603295a0030187
0603295a0030289
0603295a003038B
0603295a003048D</t>
  </si>
  <si>
    <t>IFU-0902-60-066</t>
  </si>
  <si>
    <t>PIL-0902-60-200
PIL-0902-60-201
PIL-0902-60-202
PIL-0902-60-203
PIL-0902-60-204
PIL-0902-60-205
PIL-0902-60-206
PIL-0902-60-207
PIL-0902-60-208</t>
  </si>
  <si>
    <t>S-ROM NOILES Rotating Hinge Knee System</t>
  </si>
  <si>
    <t>MDR-WRS-STED359</t>
  </si>
  <si>
    <t>DOC_MDR-WRS-STED359</t>
  </si>
  <si>
    <t>0603295a003508L 
0603295a003518N</t>
  </si>
  <si>
    <t>IFU-090260076</t>
  </si>
  <si>
    <t>PIL-090260077</t>
  </si>
  <si>
    <t>SIGMA Primary Knee System</t>
  </si>
  <si>
    <t>MDR-WRS-STED371</t>
  </si>
  <si>
    <t>DOC_MDR-WRS-STED371</t>
  </si>
  <si>
    <t>0603295a003128C
0603295a003138E
0603295a003148G
0603295a003158J
0603295a003168L
0603295a003178N
0603295a005699K</t>
  </si>
  <si>
    <t>501312667 (IFU-0902-60-102)</t>
  </si>
  <si>
    <t>500980156 (PIL-0902-60-103)</t>
  </si>
  <si>
    <t>RECLAIM Revision Hip System</t>
  </si>
  <si>
    <t>MDR-WRS-STED374</t>
  </si>
  <si>
    <t>DOC_MDR-WRS-STED374</t>
  </si>
  <si>
    <t>0603295a003899F
0603295a003908Y
0603295a0039192</t>
  </si>
  <si>
    <t>501312750 (IFU-0902-60-074)</t>
  </si>
  <si>
    <t>501312747 (PIL-0902-60-069)</t>
  </si>
  <si>
    <t>ATTUNE™ Total Knee System</t>
  </si>
  <si>
    <t>MDR-WRS-STED376</t>
  </si>
  <si>
    <t>DOC_MDR-WRS-STED376</t>
  </si>
  <si>
    <t>0603295a002538M
0603295a002548P
0603295a002558R
0603295a002568T
0603295a002578V
0603295a002588X</t>
  </si>
  <si>
    <t>IFU-0902-60-062</t>
  </si>
  <si>
    <t xml:space="preserve">PIL-0902-60-071 </t>
  </si>
  <si>
    <t xml:space="preserve">S-ROM Modular Hip System </t>
  </si>
  <si>
    <t>MDR-WRS-STED389</t>
  </si>
  <si>
    <t>DOC_MDR-WRS-STED389</t>
  </si>
  <si>
    <t>0603295a0031088
0603295a003118A</t>
  </si>
  <si>
    <t>IFU-090260113 (500993681)</t>
  </si>
  <si>
    <t>PIL-090260114 (500991920)</t>
  </si>
  <si>
    <t>AEGIS® Anterior Lumbar Plate System - Implants</t>
  </si>
  <si>
    <t>TD32101</t>
  </si>
  <si>
    <t>0705034a001545Y
0705034a0015562</t>
  </si>
  <si>
    <t>187150015
187150017
187150019
187150021
187150023
187150025
187155021
187155024
187155028
187155032
187155036</t>
  </si>
  <si>
    <t>501086315 (IFU-0902-90-328)</t>
  </si>
  <si>
    <t>HEALIX ADVANCETM SP PEEK ANCHOR</t>
  </si>
  <si>
    <t>MDR-STR-52</t>
  </si>
  <si>
    <t>DOC_MDR-STR-52</t>
  </si>
  <si>
    <t>0886705a00080KF</t>
  </si>
  <si>
    <t>228055
228056
228057</t>
  </si>
  <si>
    <t>501122010 (IFU-156429)</t>
  </si>
  <si>
    <t>n/a (sutures)</t>
  </si>
  <si>
    <t>EXPEDIUM VERSE Spine System</t>
  </si>
  <si>
    <t>TD32049</t>
  </si>
  <si>
    <t>0705034a0017466
0705034a0017262</t>
  </si>
  <si>
    <t>501007266 (IFU-0902-90-198)</t>
  </si>
  <si>
    <t>SSCP Number on TD needs to be changed (from 103786057) to the correct one. Raised with eric (7-Oct)
23-Oct: SSCP needs to be updated to remove BUDI 1705W
7-Nov: Kris confirmed that SSCP has been updated and uploaded to Windchill
3-March-26:checked TDnd SSCp is not corrected</t>
  </si>
  <si>
    <t>VIPER Spine System</t>
  </si>
  <si>
    <t>TD32077</t>
  </si>
  <si>
    <t>0705034a002065S
0705034a002085W
0705034a002105H</t>
  </si>
  <si>
    <t>501057878 (IFU-0902-90-402)</t>
  </si>
  <si>
    <t>n/a (screws and connectors)</t>
  </si>
  <si>
    <t>TD not ready yet- involved in SKYLINE
01-Dec: TD is in work because it is pending SKYLINE removal</t>
  </si>
  <si>
    <t>Viper System Fenestrated Screw Implants</t>
  </si>
  <si>
    <t>TD32081</t>
  </si>
  <si>
    <t>0705034a002486A</t>
  </si>
  <si>
    <t xml:space="preserve">TD lists incorrect SSCP number, says (501075471). Durgesh confirmed and is hoping to complete TDR updates by Mid-Noevember. (14-Oct)
10-March checked TD and the SSCP numbr ris correct </t>
  </si>
  <si>
    <t>VERSALOK™ Anchors</t>
  </si>
  <si>
    <t>MDR-STR-37</t>
  </si>
  <si>
    <t>0886705a00092KN</t>
  </si>
  <si>
    <t>210800
210808</t>
  </si>
  <si>
    <t>501114888 (IFU-135792)
501114863 (IFU-135793)</t>
  </si>
  <si>
    <t>n/a (pin)</t>
  </si>
  <si>
    <t>EXPEDIUM VERSE Spine System Fenestrated Implants</t>
  </si>
  <si>
    <t>TD32050</t>
  </si>
  <si>
    <t>0705034a001705W
0705034a001715Y</t>
  </si>
  <si>
    <t>199721001S
199723430
199723430S
199723435
199723435S
199723440
199723440S
199723445
199723445S
199723450
199723450S
199723455
199723455S
199723460
199723460S
199723465
199723465S
199723470
199723470S
199723475
199723475S
199723480
199723480S
199723530
199723530S
199723535
199723535S
199723540
199723540S
199723545
199723545S
199723550
199723550S
199723555
199723555S
199723560
199723560S
199723565
199723565S
199723570
199723570S
199723575
199723575S
199723580
199723580S
199723630
199723630S
199723635
199723635S
199723640
199723640S
199723645
199723645S
199723650
199723650S
199723655
199723655S
199723660
199723660S
199723665
199723665S
199723670
199723670S
199723675
199723675S
199723680
199723680S
199723730
199723730S
199723735
199723735S
199723740
199723740S
199723745
199723745S
199723750
199723750S
199723755
199723755S
199723760
199723760S
199723765
199723765S
199723770
199723770S
199723775
199723775S
199723780
199723780S
199723830
199723830S
199723835
199723835S
199723840
199723840S
199723845
199723845S
199723850
199723850S
199723855
199723855S
199723860
199723860S
199723865
199723865S
199723870
199723870S
199723875
199723875S
199723880
199723880S</t>
  </si>
  <si>
    <t>501007266 (eIFU-0902-90-198)</t>
  </si>
  <si>
    <t>SSCP Number on TD needs to be changed to the correct one. Contacted Eric Zhu and Tobias. Current SSCP referenced is on do-not-upload list (103786057).
23-Oct: SSCP needs to be updated to add BUDI 1705W
7-Nov: Kris confirmed that SSCP has been updated and uploaded to Windchill
16-Dec: TD has correct SSCP refenrce number now</t>
  </si>
  <si>
    <t>FASTIN™ RC Anchor with ORTHOCORD™ Suture</t>
  </si>
  <si>
    <t>MDR-STR-12</t>
  </si>
  <si>
    <t>0886705a00091KL</t>
  </si>
  <si>
    <t>222991
222992
222993
222994</t>
  </si>
  <si>
    <t>501128241 (IFU-156822)</t>
  </si>
  <si>
    <t>n/a (screws and sutures)</t>
  </si>
  <si>
    <t>HEALIX ADVANCE™ PEEK Anchor with ORTHOCORD™ Suture</t>
  </si>
  <si>
    <t>MDR-STR-06</t>
  </si>
  <si>
    <t>0886705a00031K2</t>
  </si>
  <si>
    <t>222303
222304
222305
222307
222308
222309
222311
222313
222318
222321
222322
222325</t>
  </si>
  <si>
    <t>501117194 (IFU-151447)</t>
  </si>
  <si>
    <t>PROFILE™ Interference Screw System</t>
  </si>
  <si>
    <t>MDR-STR-46</t>
  </si>
  <si>
    <t>0886705a00052KA</t>
  </si>
  <si>
    <t>230320
230325
230330
230420
230425
230430
230520
230525
230530</t>
  </si>
  <si>
    <t>502005715 (IFU-156731)</t>
  </si>
  <si>
    <t>EXPEDIUM® Anterior Spine System - Implants</t>
  </si>
  <si>
    <t>TD32040</t>
  </si>
  <si>
    <t>0705034a001766A
0705034a001776C
0705034a0018163
0705034a001805Z
0705034a001796G
0705034a001786E</t>
  </si>
  <si>
    <t>187701001
187701002
187701003
187701004
187701005
187701006
187701009
187701010
187701015
187702520
187702522
187702525
187702527
187702530
187702532
187702535
187702540
187702545
187702620
187702622
187702625
187702627
187702630
187702632
187702635
187702637
187702640
187702642
187702645
187702647
187702650
187702655
187702660
187702725
187702727
187702730
187702732
187702735
187702737
187702740
187702742
187702745
187702747
187702750
187702752
187702755
187702757
187702760
187703045
187703050
187703055
187703060
187703065
187703070
187703075
187703080
187703085
187703090
187703095
187703100
187703110
187703120
187703130
187703140
187703150
187703450
187704005
187704013
187704014
187704015
187704016
187704017
187704018</t>
  </si>
  <si>
    <t>501123690 (IFU-0902-90-329)</t>
  </si>
  <si>
    <t>Super QUICKANCHOR™ Plus</t>
  </si>
  <si>
    <t>MDR-STR-36</t>
  </si>
  <si>
    <t>0886705a00089KZ</t>
  </si>
  <si>
    <t>501192030 (IFU-156821)</t>
  </si>
  <si>
    <t>n/a (suture and pin)</t>
  </si>
  <si>
    <t>MICRO QUICKANCHOR™ Plus Family</t>
  </si>
  <si>
    <t>MDR-STR-24</t>
  </si>
  <si>
    <t>0886705a00088KX</t>
  </si>
  <si>
    <t>212041
212042
212843</t>
  </si>
  <si>
    <t>501202691 (IFU-156901)</t>
  </si>
  <si>
    <t>TriALTIS Spine System Implants</t>
  </si>
  <si>
    <t xml:space="preserve">TD32154  </t>
  </si>
  <si>
    <t>0705034a0025669
0705034a002576B
0705034a002596F
0705034a0025567
0705034a002586D
0705034a002766F</t>
  </si>
  <si>
    <t>502166344 (IFU-0902-90-432)</t>
  </si>
  <si>
    <t>n/a (screws and/or connectors)</t>
  </si>
  <si>
    <t>MINI QUICKANCHOR PLUS</t>
  </si>
  <si>
    <t>MDR-STR-28</t>
  </si>
  <si>
    <t>0886705a00087KV</t>
  </si>
  <si>
    <t>212035
212038</t>
  </si>
  <si>
    <t>501184362 (IFU-135794)</t>
  </si>
  <si>
    <t>RIGIDLOOP Cortical Fixation System</t>
  </si>
  <si>
    <t>MDR-STR-33</t>
  </si>
  <si>
    <t>501176143</t>
  </si>
  <si>
    <t>0886705a00094KS</t>
  </si>
  <si>
    <t>232009
232011
232014
232016
232017
232018
232019
232021
232022
232023</t>
  </si>
  <si>
    <t>501156414 (IFU-156414)</t>
  </si>
  <si>
    <t xml:space="preserve">SSCP 501010971 has BUDI-DI 0886705a00093KQ, but TD has BUDI-DI 0886705a00094KS
27-Oct-25 Emailed Pratishka Patil
03-Nov-25 Pratiksha confirmed that SSCP Document reference in TD is wrong. Correct SSCP number is 501303883 and correct BUDI is 0886705a00094KS. SSCP number will be updates in next revision of TD
04-Mar-26 Checked TD - still has incorret SSCP number </t>
  </si>
  <si>
    <t>GLOBAL UNITE™ Platform Shoulder System</t>
  </si>
  <si>
    <t>MDR-SH-08</t>
  </si>
  <si>
    <t>0603295a003068H
0603295a003098P
0603295a000558F
0603295a003078K
0603295a003088M</t>
  </si>
  <si>
    <r>
      <t>501313438; IFU-0902-60-178</t>
    </r>
    <r>
      <rPr>
        <vertAlign val="superscript"/>
        <sz val="11"/>
        <color theme="1"/>
        <rFont val="Calibri"/>
        <family val="2"/>
        <scheme val="minor"/>
      </rPr>
      <t>*1</t>
    </r>
  </si>
  <si>
    <t>501313535; PIL-0902-60-179</t>
  </si>
  <si>
    <t>*1: The original document number assigned was eIFU-501004826 which was subsequently changed to the current number.  Some documentation, including MDR design control documents, may reference the original document number.  Refer to Reference Number Equivalence memo attached to the IFU CN in the PLM. - FROM TD</t>
  </si>
  <si>
    <t>DYNACORD Suture Family</t>
  </si>
  <si>
    <t>MDR-STR-58</t>
  </si>
  <si>
    <t>DOC_MDR-STR-58</t>
  </si>
  <si>
    <t>0886705a0053KC</t>
  </si>
  <si>
    <t>222065
222066
222067
222068
222069
222071
222073
222075
222076
222077
222078
222079
222081
222083</t>
  </si>
  <si>
    <t>103863296 (IFU-156428)</t>
  </si>
  <si>
    <t>PIL number doesn’t give nay results on WCH - product is being redesigned as WET</t>
  </si>
  <si>
    <t>SYMPHONY OCT System - Implants</t>
  </si>
  <si>
    <t>TD32151</t>
  </si>
  <si>
    <t>0705034a002405S
0705034a0023867
0705034a0023969
0705034a0023765
0705034a0023663
0705034a0024462
0705034a002425W
0705034a002415U
0705034a002435Y</t>
  </si>
  <si>
    <t>501238605 (IFU-090290334)</t>
  </si>
  <si>
    <t>n/a (screws, plates and connectors)</t>
  </si>
  <si>
    <t>ATTUNE Revision and SIGMA Ancillary Knee Components and UNIVERSAL Stems</t>
  </si>
  <si>
    <t>MDR-WRS-STED314</t>
  </si>
  <si>
    <t>DOC_MDR-WRS-STED314</t>
  </si>
  <si>
    <r>
      <t xml:space="preserve">0603295a0037696
0603295a003799C
</t>
    </r>
    <r>
      <rPr>
        <b/>
        <sz val="11"/>
        <color theme="1"/>
        <rFont val="Calibri"/>
        <family val="2"/>
        <scheme val="minor"/>
      </rPr>
      <t>0603295a0037594</t>
    </r>
    <r>
      <rPr>
        <sz val="11"/>
        <color theme="1"/>
        <rFont val="Calibri"/>
        <family val="2"/>
        <scheme val="minor"/>
      </rPr>
      <t xml:space="preserve">
</t>
    </r>
    <r>
      <rPr>
        <b/>
        <sz val="11"/>
        <color theme="1"/>
        <rFont val="Calibri"/>
        <family val="2"/>
        <scheme val="minor"/>
      </rPr>
      <t>0603295a0037798</t>
    </r>
    <r>
      <rPr>
        <sz val="11"/>
        <color theme="1"/>
        <rFont val="Calibri"/>
        <family val="2"/>
        <scheme val="minor"/>
      </rPr>
      <t xml:space="preserve">
0603295a003789A
0603295a003808V
0603295a003818X
0603295a003828Z
0603295a0038393</t>
    </r>
  </si>
  <si>
    <t>103771849, 
501061463
501116864</t>
  </si>
  <si>
    <t>IFU-0902-60-121
IFU-0902-60-123</t>
  </si>
  <si>
    <t>PIL-0902-60-124
PIL-0902-60-122</t>
  </si>
  <si>
    <t>103515016, 
103347019, 
103469037</t>
  </si>
  <si>
    <t xml:space="preserve">TD needs to be changed to remove SSCP number that is no longer in use 
30-Oct-25: Found old conversation with Michael and he said the last SSCP is a typo, it should be 501116864 -which is a SSCP with previously validated version --&gt; TD needs to be updated to fix this
The bold BUDIs are connected to the last SSCP in the master data table bu are actually in the first SSCP.
17- Nov: emailed Michael to ask if any changes been made to TD - Michael replied that changes have been made </t>
  </si>
  <si>
    <t>Knee Ancillary Components</t>
  </si>
  <si>
    <t>MDR-WRS-STED315</t>
  </si>
  <si>
    <t>DOC_MDR-WRS-STED315</t>
  </si>
  <si>
    <r>
      <t xml:space="preserve">0603295a004408N
0603295a004418Q
0603295a004458Y
0603295a0043995
0603295a004378Z
0603295a0043893
0603295a004438U
0603295a004428S
</t>
    </r>
    <r>
      <rPr>
        <sz val="11"/>
        <color theme="1"/>
        <rFont val="Calibri"/>
        <family val="2"/>
        <scheme val="minor"/>
      </rPr>
      <t>0603295a004448W
0603295a0044692
0603295a0044794
0603295a0044896</t>
    </r>
  </si>
  <si>
    <t>501080527 (IFU-090260138)
501086557 (IFU-090260142)
501132033 (IFU-090260140)
501173652 (IFU-090260126)</t>
  </si>
  <si>
    <t>501107275
103347019</t>
  </si>
  <si>
    <t>One of the BUDI-DI codes in the SSCP is mis-typed. (0603295a004448W)
30-Oct-25: Contatcted Lyndsey Wasio and Cecilia Gibson, who cc'd her managers
13- Nov: SSCP has been updated, this has been routed in WCH (but not released because its not validated) - Lyndsey</t>
  </si>
  <si>
    <t>PINNACLE Hip System and Modular Femoral Heads</t>
  </si>
  <si>
    <t>MDR-WRS-STED362</t>
  </si>
  <si>
    <t>DOC_MDR-WRS-STED362</t>
  </si>
  <si>
    <t>0603295a0026892
0603295a0026994
0603295a002708M
0603295a002748V
0603295a002758X
0603295a002768Z
0603295a002728R
0603295a002808Q
0603295a002818S
0603295a002738T
0603295a0027895
0603295a0027997</t>
  </si>
  <si>
    <t xml:space="preserve">501114295
103848694
</t>
  </si>
  <si>
    <t>501929365 (IFU-090260098)
501003198 (IFU-090260097)
501008047 (IFU-090260100)</t>
  </si>
  <si>
    <t>501361552 (PIL-090260190)
500993867 (PIL-090260108)
501361531 (PIL-090260184)
501361523 (PIL-090260182)
501361543 (PIL-090260186)
501361555 (PIL-090260191)
501361526 (PIL-090260183)
500961053 (PIL-090260106)
501361534 (PIL-090260185)
501361545 (PIL-090260187)
501361546 (PIL-090260188)
501361551 (PIL-090260189)</t>
  </si>
  <si>
    <t xml:space="preserve">103468767
103482144
</t>
  </si>
  <si>
    <t>SIGMA Revision Knee System</t>
  </si>
  <si>
    <t>MDR-WRS-STED372</t>
  </si>
  <si>
    <t>DOC_MDR-WRS-STED372</t>
  </si>
  <si>
    <t>0603295a0034993
0603295a003468V
0603295a003478X
0603295a003488Z</t>
  </si>
  <si>
    <t>501089528,
103847667</t>
  </si>
  <si>
    <t>IFU-0902-60-078</t>
  </si>
  <si>
    <t>PIL-0902-60-079</t>
  </si>
  <si>
    <t>103478684
103469037</t>
  </si>
  <si>
    <t xml:space="preserve">ATTUNE Cementless Total Knee Sytem </t>
  </si>
  <si>
    <t>MDR-WRS-STED377</t>
  </si>
  <si>
    <t>DOC_MDR-WRS-STED377</t>
  </si>
  <si>
    <t>0603295a0021185
0603295a0021287</t>
  </si>
  <si>
    <t>IFU-0902-60-063
(500979808)</t>
  </si>
  <si>
    <t>PIL-0902-60-071
(500980099)</t>
  </si>
  <si>
    <t>ATTUNE Revision Knee System - Fixed Bearing and Rotating Platform</t>
  </si>
  <si>
    <t>MDR-WRS-STED379</t>
  </si>
  <si>
    <t>DOC_MDR-WRS-STED379</t>
  </si>
  <si>
    <t>0603295a001107W
0603295a001117Y
0603295a0011282
0603295a0011384
0603295a0011486
0603295a0058199</t>
  </si>
  <si>
    <t xml:space="preserve"> IFU-090260055 (500979442)
IFU-0902-60-056 (501017496)</t>
  </si>
  <si>
    <t>PIL-090260059 (500980171)
PIL-090260132 (501076367)</t>
  </si>
  <si>
    <t>TD has to editted to remove 3 out-of use SSCPs- Michael Lao and Nekita have been contacted
18-Nov TD Master table now only had one SSCP number in it</t>
  </si>
  <si>
    <t>ATTUNE Medial Stabilized Inserts</t>
  </si>
  <si>
    <t>MDR-WRS-STED391</t>
  </si>
  <si>
    <t>DOC_MDR-WRS-STED391</t>
  </si>
  <si>
    <t>0603295a003058F</t>
  </si>
  <si>
    <t>IFU-0902-60-104</t>
  </si>
  <si>
    <t>ePIL-0902-60-120</t>
  </si>
  <si>
    <t xml:space="preserve">Knee Ancillary Components – Adaptors, WET </t>
  </si>
  <si>
    <t>MDR-WRS-STED395</t>
  </si>
  <si>
    <t>DOC_MDR-WRS-STED395</t>
  </si>
  <si>
    <t xml:space="preserve">0603295a003458T </t>
  </si>
  <si>
    <t>151116000
151116005
151116010</t>
  </si>
  <si>
    <t>IFU-090260015</t>
  </si>
  <si>
    <t>Orthocord Sutures and Needles</t>
  </si>
  <si>
    <t>MDR-STR-30</t>
  </si>
  <si>
    <t>0886705a00078KU</t>
  </si>
  <si>
    <t>223102
223102U
223103
223103U
223104
223104U
223105
223105U
223111
223111U
223113
223113U
223114
223114U
223115
223115U
223116
223116U
223122
223122U
223123
223123U
223124
223124U
223125
223125U
223126
223126U
223127
223127U
228144
228145</t>
  </si>
  <si>
    <t>Meniscal Needles: 502004235 (IFU-156902)
Size 2: 501182390 (IFU-156903)
Small Size: 502004240 (IFU-156953)</t>
  </si>
  <si>
    <t>MOUNTAINEER Instruments</t>
  </si>
  <si>
    <t>Ir</t>
  </si>
  <si>
    <t>TD31062</t>
  </si>
  <si>
    <t>0705034a001465Z
0705034a001455X
0705034a002756D</t>
  </si>
  <si>
    <t>103609085
(IFU-0902-90-173)</t>
  </si>
  <si>
    <t>n/a (non- implantable)</t>
  </si>
  <si>
    <t>SYMPHONY Navigation Ready Instruments</t>
  </si>
  <si>
    <t>IIa</t>
  </si>
  <si>
    <t>TD31152</t>
  </si>
  <si>
    <t>0705034a000145F
0705034a000155H</t>
  </si>
  <si>
    <t>202000107
202000118
202000120
202000123
202000158
202000222
202000224
202000228
202000232
202000401
202033140
202033145
202033150
202033155
202033235
202033240
202033245
202033330
202033335
202033340
202033345
202033400
202033401
202033540
202033545
202033550
202033555</t>
  </si>
  <si>
    <t>103668578
(IFU-0902-90-187)</t>
  </si>
  <si>
    <t>VIPER Prime Navigated Inserter</t>
  </si>
  <si>
    <t>TD31008</t>
  </si>
  <si>
    <t>0705034a0014763</t>
  </si>
  <si>
    <t>286750042
286750131N
286750132N
286750133N
286750210S</t>
  </si>
  <si>
    <t>501064808
(IFU-0902-90-322)</t>
  </si>
  <si>
    <t>Universal Navigation Instruments for:
EXPEDIUM Spine Systems, VIPER Spine Systems, and/or
EXPEDIUM and VIPER Spine Systems</t>
  </si>
  <si>
    <t>TD31074</t>
  </si>
  <si>
    <t>0705034a001505Q</t>
  </si>
  <si>
    <t>275010050N
279702010N
279702020N
279702030N
279702040N
279702400N
279702401N
279702500N
279702501N
279702600N
279702601N
279702700N
279702701N
279702800N
279702801N
279712830N
279734000N
286701150N
286710116N
286710117N
286710118N
286715210N
286715450N
286715500N
286715600N
286715700N
286715800N
286720000N
286720100N
286760010N
286760017N
299704155N</t>
  </si>
  <si>
    <t>501093169
(IFU-0902-90-323)</t>
  </si>
  <si>
    <t>Spinal Navigation Adaptors and Arrays</t>
  </si>
  <si>
    <t>I</t>
  </si>
  <si>
    <t>TD31145</t>
  </si>
  <si>
    <t>0705034a000125B
0705034a000135D
0705034a0025465
0705034a001515S</t>
  </si>
  <si>
    <t>302011012
302011017
302011022
302015020
302015025
302015030
302015100
302015120
302020001
302022012
286755001N
286755005N
286755010N
286755011N</t>
  </si>
  <si>
    <t>103627881 (eIFU-0902-90-160),
501375060 (IFU-090290430),
501093169 (IFU-0902-90-323)</t>
  </si>
  <si>
    <t>ATP/Lateral Discectomy Instruments</t>
  </si>
  <si>
    <t>TD31146</t>
  </si>
  <si>
    <t>0705034a002255W</t>
  </si>
  <si>
    <t>289215010
289215011
289215012
289215111
289215112
289215113
289215114
289215115
289215116</t>
  </si>
  <si>
    <t>501202250
(IFU-090290335)</t>
  </si>
  <si>
    <t>Navigation Enabled Instruments</t>
  </si>
  <si>
    <t>TD31157</t>
  </si>
  <si>
    <t>0705034a002355Z
0705034a002345X</t>
  </si>
  <si>
    <t>501375060
(IFU-090290430)</t>
  </si>
  <si>
    <t>PINNACLE Dual Mobility Liner</t>
  </si>
  <si>
    <t>AU-TGA-TF001</t>
  </si>
  <si>
    <t xml:space="preserve">121848041 
121850043 
121852045 
121854047 
121856049 
121858049 
121860051 
121862053 
121864053 
121866055 </t>
  </si>
  <si>
    <t>103633299
(IFU-0902-00-898)</t>
  </si>
  <si>
    <t>TV-TEC-216157</t>
  </si>
  <si>
    <t>PINNACLE Dual Mobility Instruments</t>
  </si>
  <si>
    <t xml:space="preserve">AU-TGA-TF002 </t>
  </si>
  <si>
    <t xml:space="preserve">221848041 
221850043 
221852045 
221854047 
221856049 
221858049 
221860051 
221862053 
221864053 
221866055 
221722041 
221722043 
221722045 
221728047 
221728049 
221728051 
221728053 
221728055 
221750090 
221750088 
221751022 
222000240 </t>
  </si>
  <si>
    <t>IFU-0902-00-865</t>
  </si>
  <si>
    <t>ATTUNE® Porous Fixed Bearing Tibial Base with AFFIXIUM™ 3DP Technology</t>
  </si>
  <si>
    <t xml:space="preserve">AU-TGA-TF003 </t>
  </si>
  <si>
    <t> 501497037</t>
  </si>
  <si>
    <t>150621001
150621002
150621003
150621004
150621005
150621006
150621007
150621008
150621009
150621010</t>
  </si>
  <si>
    <t>103663685
(IFU-0902-60-011)</t>
  </si>
  <si>
    <t>TV-TEC-216159</t>
  </si>
  <si>
    <t>ATTUNE Medial Stabilized Fixed Bearing Instruments</t>
  </si>
  <si>
    <t>I, IIa</t>
  </si>
  <si>
    <t>AU-TGA-TF004</t>
  </si>
  <si>
    <t>502108219
502108220</t>
  </si>
  <si>
    <t>103551206
103551212</t>
  </si>
  <si>
    <t>ATTUNE Medial Stabilized Fixed Bearing Inserts</t>
  </si>
  <si>
    <t>AU-TGA-TF005</t>
  </si>
  <si>
    <t>IFU-0902-00-902</t>
  </si>
  <si>
    <t>Class I Non-Surgical Reusable Instruments</t>
  </si>
  <si>
    <t>MDR-STR-01</t>
  </si>
  <si>
    <t>103806663_TDAL</t>
  </si>
  <si>
    <t>0886705a00004JX</t>
  </si>
  <si>
    <t>213012
213053
213057
215200
215201
215203
215205
215401
215402
215403
215406
215407
215408
215409
215410
215411
215412
215413
215414
215415
215416
215417
215418
215419
215421
215422
215423
215424
215425
215426
215427
215428
215429
215430
215450
215451
215452
215453
215454
215455
215459
215504
215505
215506
215507
215508
215509
215510
215810
225004
232032
232033
242307
242309
242313
242335
242336
242337
242338
242339
254839
254845
254846
254848
288217
288218
288219</t>
  </si>
  <si>
    <t>103603777
(IFU-149958)</t>
  </si>
  <si>
    <t>103583858
103573377</t>
  </si>
  <si>
    <t>Class Ir Surgical Instruments Non-Sterile, Knee</t>
  </si>
  <si>
    <t>MDR-WRS-STED350</t>
  </si>
  <si>
    <t>DOC_MDR-WRS-STED350</t>
  </si>
  <si>
    <t>103774485 (IFU-0902-60-046)
103750786 (IFU-0902-60-035)</t>
  </si>
  <si>
    <t>103551212
103545601
103611785
103561987
103570834</t>
  </si>
  <si>
    <t>VELYS ROBOTIC-ASSISTED SOLUTION</t>
  </si>
  <si>
    <t>STED070</t>
  </si>
  <si>
    <t>502144266
502144270
(Australian DoC)</t>
  </si>
  <si>
    <t>Refer to MDR-WRS-STED392 and MDR-WRS-STED394 for further information regarding the Instructions for Use.</t>
  </si>
  <si>
    <t>Refer to MDR-WRS-STED392 and MDR-WRS-STED394</t>
  </si>
  <si>
    <t>AEGIS Anterior Lumbar Plate Instruments</t>
  </si>
  <si>
    <t>TD31102</t>
  </si>
  <si>
    <t>0705034a000986F
0705034a000996H</t>
  </si>
  <si>
    <t>287110100
287110115
287110140
287110145
287110150
287110160
287110170
287110180
287110190
287110200
287110300
287110400
287110550
287110560
287110700
287110800</t>
  </si>
  <si>
    <t>103609085
(IFU-0902-90-173 / eIFU-0902-90-173)</t>
  </si>
  <si>
    <t>Class 1r  Instruments Hip</t>
  </si>
  <si>
    <t>MDR-WRS-STED351</t>
  </si>
  <si>
    <t> DOC_MDR-WRS-STED351</t>
  </si>
  <si>
    <t>103750786 (IFU-0902-60-035)
103774485 (IFU-0902-60-046)</t>
  </si>
  <si>
    <t>103570834
103611785
103561987</t>
  </si>
  <si>
    <t xml:space="preserve">Class Ir &amp; I Non-Sterile Instruments, Knee </t>
  </si>
  <si>
    <t>I, Ir</t>
  </si>
  <si>
    <t>MDR-WRS-STED348</t>
  </si>
  <si>
    <t> DOC_MDR-WRS-STED348</t>
  </si>
  <si>
    <t>0603295a000117T
0603295a000127V
0603295a000137X
0603295a005028K
0603295a002318B
0603295a0001685
0603295a002448L
0603295a000107R
0603295a000568H
0603295a0022086
0603295a005108J
0603295a002368M
0603295a002228A
0603295a000618A
0603295a000628C
0603295a000638E
0603295a000678N
0603295a005038M
0603295a005058R
0603295a000838L
0603295a000488J
0603295a002418E
0603295a003328J
0603295a003448R
0603295a002328D
0603295a005178Y
0603295a005258X
0603295a003408H
0603295a005018H
0603295a0057094
0603295a0051892</t>
  </si>
  <si>
    <t xml:space="preserve">IFU 0902-60-046 (PLM# 103774485)
IFU-0902-60-002 (PLM# 103617125)
IFU-0902-60-035 (PLM# 103750786)
IFU-0902-60-001 (PLM# 103617150) </t>
  </si>
  <si>
    <t>Class I Instruments, Hip</t>
  </si>
  <si>
    <t>MDR-LDS-STED091</t>
  </si>
  <si>
    <t>DOC_MDR-LDS-STED091</t>
  </si>
  <si>
    <t>0603295a0061693
0603295a0061795
0603295a0061897</t>
  </si>
  <si>
    <t>103617125 (IFU-0902-60-002)
103750786 (IFU-0902-60-035)
501022433 (IFU-0902-60-025)
103617150 (IFU-0902-60-001)</t>
  </si>
  <si>
    <t>MDR-WRS-STED385</t>
  </si>
  <si>
    <t>DOC_MDR-WRS-STED385</t>
  </si>
  <si>
    <t>0603295a0002382
0603295a000198B
0603295a0002586
0603295a000278A
0603295a000207U
0603295a000268
0603295a0002484
0603295a000288C
0603295a000217W</t>
  </si>
  <si>
    <t>103750786 (IFU-0902-60-035)
IFU-0902-60-002
IFU-0902-60-001</t>
  </si>
  <si>
    <t>Class I Instruments, Knee</t>
  </si>
  <si>
    <t>MDR-LDS-STED090</t>
  </si>
  <si>
    <t>DOC_MDR-LDS-STED090</t>
  </si>
  <si>
    <t>0603295a006148X
0603295a006158Z</t>
  </si>
  <si>
    <t>103617125 (IFU-0902-60-002)
103617150 (IFU-0902-60-001)</t>
  </si>
  <si>
    <t>MDR-WRS-STED384</t>
  </si>
  <si>
    <t>DOC_MDR-WRS-STED384</t>
  </si>
  <si>
    <t>103617125 (IFU-0902-60-002)
103750786 (IFU-0902-60-035)
IFU-0902-60-046
103617150 (IFU-0902-60-001)</t>
  </si>
  <si>
    <t>103551212
103611785
103570834</t>
  </si>
  <si>
    <t>Class I non-sterile medical devices</t>
  </si>
  <si>
    <t>MDR-CMW-STED602</t>
  </si>
  <si>
    <t>Cementing Guns: 103587315
Cementing Instrumentation: 103587318
class I/ non-sterile : 103617150 or 103632990</t>
  </si>
  <si>
    <t>Shoulder Reconstruction Class I Non-Surgical Instruments</t>
  </si>
  <si>
    <t>MDR-SH-01</t>
  </si>
  <si>
    <t>DOC_MDR-SH-01</t>
  </si>
  <si>
    <t>0603295a0000988</t>
  </si>
  <si>
    <t>103605446 / IFU-0902-60-004</t>
  </si>
  <si>
    <t>Class I Surgical  Plan</t>
  </si>
  <si>
    <t>MDR-WRS-STED390</t>
  </si>
  <si>
    <t>DOC_MDR-WRS-STED390</t>
  </si>
  <si>
    <t>0603295a000648G</t>
  </si>
  <si>
    <t>IFU-0902-60-013</t>
  </si>
  <si>
    <t>Class IIa Surgical Instruments, Knee</t>
  </si>
  <si>
    <t>MDR-WRS-STED355</t>
  </si>
  <si>
    <t>DOC_MDR-WRS-STED355</t>
  </si>
  <si>
    <t xml:space="preserve"> 71 BUDI DI codes</t>
  </si>
  <si>
    <t>103617125 (IFU-0902-60-002)
103750786 (IFU-0902-60-035)
103763732 (IFU-0902-60-048)
103774485 (IFU-0902-60-046)
103617150 (IFU-0902-60-001)</t>
  </si>
  <si>
    <t>CONFIDENCE High Viscosity Spinal Cement</t>
  </si>
  <si>
    <t>MDR-CMW-STED607</t>
  </si>
  <si>
    <t>0705034a000075J</t>
  </si>
  <si>
    <t>103685573 (IFU-0630144)</t>
  </si>
  <si>
    <t>Class IIa Surgical Instruments</t>
  </si>
  <si>
    <t>MDR-STR-04</t>
  </si>
  <si>
    <t>0886705a00102JY
0886705a00097KY
0886705a00101JW
0886705a00066KM
0886705a00072KG
0886705a00099L4
0886705a00063KF
0886705a00073KJ
0886705a00071KE
0886705a00064KH
0886705a00075KN
0886705a00104K4
0886705a00103K2
0886705a00105K6
0886705a00151KD
0886705a00074KL
0886705a00067KP
0886705a00100JU
0886705a00065KK
0886705a00106K8
0886705a00002JT
0886705a00098L2
0886705a00068KR
0886705a00096KW
0886705a00070KC</t>
  </si>
  <si>
    <t>IFU-135798
IFU-156757
IFU-156948*
IFU-135799
IFU-157084
IFU-157083
IFU-157082
IFU-157086   
IFU-156755   
IFU-156823  
IFU-157085           
IFU-156758 
IFU-157099
IFU-157094
IFU-157079*
IFU-157121
IFU-157122
IFU-157122*
IFU-157123
IFU-157124*
IFU-157125
IFU-156948</t>
  </si>
  <si>
    <t>Class IIa Instruments Shoulder/Extremity Reconstruction</t>
  </si>
  <si>
    <t>MDR-SH-03</t>
  </si>
  <si>
    <t>0603295a000968V
0603295a001017V
0603295a000978X
0603295a000988Z
0603295a001027X
0603295a000958T
0603295a0009993
0603295a001007T
0603295a005399A
0603295a0053694
0603295a005338W
0603295a0053592
0603295a0053898
0603295a005408T
0603295a0053796
0603295a005348Y
0603295a005418V</t>
  </si>
  <si>
    <t>103748273 (IFU-0902-60-050)
501221815 (IFU-501122971)</t>
  </si>
  <si>
    <t>Class IIa Stand Alone Software</t>
  </si>
  <si>
    <t>MDR-WRS-STED393</t>
  </si>
  <si>
    <t>0603295a002198M</t>
  </si>
  <si>
    <t xml:space="preserve">501064873
(IFU-0902-60-130) </t>
  </si>
  <si>
    <t>CLASS IIa STERILE MEDICAL DEVICES (SMARTSEAL PRESSURISERS)</t>
  </si>
  <si>
    <t>MDR-CMW-STED609</t>
  </si>
  <si>
    <t>0603295a003638V</t>
  </si>
  <si>
    <t>501349558
(eIFU-501398443) 
57993</t>
  </si>
  <si>
    <t>Class IIa Sterile Medical Devices</t>
  </si>
  <si>
    <t>MDR-CMW-STED604</t>
  </si>
  <si>
    <t xml:space="preserve">0603295a0035894
0603295a003618R
</t>
  </si>
  <si>
    <t>501430860 (eIFU-501504682) , SmartMix Cemvac - MDR , CE
501009463 (eIFU-501504671) - Cemvac Single &amp; Double Syringe set - MDR, CE
501009465 (eIFU-501504672) - Cemvac 8.5 &amp; 6.5 Revision Nozzles - MDR, CE
501430858 (eIFU-501504676), CMW Syringe Kit MKIII - MDR, CE
501430857 (IFU-501504675) - VacuMix Syringe Kit Single - MDR, CE</t>
  </si>
  <si>
    <t>Class IIa Surgical Instruments Non-Sterile, Knee</t>
  </si>
  <si>
    <t>MDR-LDS-STED094</t>
  </si>
  <si>
    <t>DOC_MDR-LDS-STED094</t>
  </si>
  <si>
    <t>103774485 (IFU-0902-60-046)
501242872 (LCN-090360035-DISA)
501242878 (LCN-090360036-DISA)</t>
  </si>
  <si>
    <t>Class IIa Surgical Instruments Non-Sterile, Hip</t>
  </si>
  <si>
    <t>MDR-LDS-STED093</t>
  </si>
  <si>
    <t>Class IIa Surgical Instruments Sterile, Knee</t>
  </si>
  <si>
    <t>MDR-WRS-STED329</t>
  </si>
  <si>
    <t>103616684 (IFU-0902-60-003)
500979159 (IFU-0902-60-047)
501240665 (IFU-0902-60-150)
501240705 (IFU-0902-60-151)</t>
  </si>
  <si>
    <t>Class IIa Surgical Instruments Sterile, Hip</t>
  </si>
  <si>
    <t>MDR-WRS-STED380</t>
  </si>
  <si>
    <t>0603295a004999P</t>
  </si>
  <si>
    <t>103616684 (IFU-0902-60-003)</t>
  </si>
  <si>
    <t>MDR-LDS-STED095</t>
  </si>
  <si>
    <t>0603295a0001889</t>
  </si>
  <si>
    <t>500979159 (IFU-0902-60-047)</t>
  </si>
  <si>
    <t>MDR-WRS-STED356</t>
  </si>
  <si>
    <t>Class I Reusable (Ir) Shoulder/Extremity Reconstruction Instruments</t>
  </si>
  <si>
    <t>MDR-SH-02</t>
  </si>
  <si>
    <t>103748273
(IFU-0902-60-050)</t>
  </si>
  <si>
    <t>Class Ir Surgical Instruments Non-Sterile, Hip</t>
  </si>
  <si>
    <t>MDR-LDS-STED098</t>
  </si>
  <si>
    <t>MDR-LDS-STED097</t>
  </si>
  <si>
    <t>103750786 (IFU-0902-60-035, 090260035_eIFU)
103774485 (IFU-0902-60-046, 090260046D_eIFU)
103799674
103800152
103807477
103811437
103816776
103816780
103816786
103818801
103819066
103819069
103819073
501242866
103807557
103818133
103818833
103819744
501258894
501259257</t>
  </si>
  <si>
    <t>Class Is Surgical Instruments Sterile, Hip</t>
  </si>
  <si>
    <t>Is</t>
  </si>
  <si>
    <t>MDR-WRS-STED381</t>
  </si>
  <si>
    <t>0603295a005869K</t>
  </si>
  <si>
    <t>CONCORDE Bullet Instruments</t>
  </si>
  <si>
    <t>TD31032</t>
  </si>
  <si>
    <t>0705034a0007869
0705034a000796B
0705034a000805U
0705034a000815W</t>
  </si>
  <si>
    <t>Concorde LS Lateral Interbody Instruments</t>
  </si>
  <si>
    <t>TD31057</t>
  </si>
  <si>
    <t>0705034a0006764
0705034a0006866
0705034a0006662
0705034a0006968
0705034a000705R
0705034a000715T
0705034a000725V</t>
  </si>
  <si>
    <t>CONCORDE® Lower Back Instruments</t>
  </si>
  <si>
    <t>TD31021</t>
  </si>
  <si>
    <t>0705034a000505K
0705034a000515M</t>
  </si>
  <si>
    <t>CONCORDE™ Clear MIS Discectomy Device</t>
  </si>
  <si>
    <t>TD31003</t>
  </si>
  <si>
    <t>0705034a0001057</t>
  </si>
  <si>
    <t xml:space="preserve">501152757
(0902-90-188-eIFU) </t>
  </si>
  <si>
    <t>CONDUIT ALIF Instruments</t>
  </si>
  <si>
    <t>TD31137</t>
  </si>
  <si>
    <t>0705034a0019268</t>
  </si>
  <si>
    <t>CONDUIT Cases and Trays</t>
  </si>
  <si>
    <t>TD31139</t>
  </si>
  <si>
    <t>0705034a000415J</t>
  </si>
  <si>
    <t>103609085
(090290173_eIFU)</t>
  </si>
  <si>
    <t>CONDUIT™ Cervical Instruments</t>
  </si>
  <si>
    <t>TD31134</t>
  </si>
  <si>
    <t>0705034a001896K
0705034a0019064</t>
  </si>
  <si>
    <t>CONDUIT LLIF Instruments</t>
  </si>
  <si>
    <t>TD31138</t>
  </si>
  <si>
    <t>0705034a000445Q
0705034a000435N
0705034a000425L
0705034a000455S</t>
  </si>
  <si>
    <t>CONDUIT PLIF Instruments</t>
  </si>
  <si>
    <t>0705034a001956E
0705034a001966G
0705034a001946C</t>
  </si>
  <si>
    <t>CONDUIT™ Curved TLIF INSTRUMENTS</t>
  </si>
  <si>
    <t>TD31135</t>
  </si>
  <si>
    <t>0705034a0019166</t>
  </si>
  <si>
    <t>Spinal Cage Trial Instruments</t>
  </si>
  <si>
    <t>TD31153</t>
  </si>
  <si>
    <t>0705034a002005E
0705034a001996N</t>
  </si>
  <si>
    <t>CONFIDENCE Spinal Cement System Instruments</t>
  </si>
  <si>
    <t>TD31010</t>
  </si>
  <si>
    <t>0705034a000896E</t>
  </si>
  <si>
    <t xml:space="preserve">103795625
(IFU 0902-90-191) </t>
  </si>
  <si>
    <t>CONFIDENCE Spinal System Needle Instruments</t>
  </si>
  <si>
    <t>TD31011</t>
  </si>
  <si>
    <t>0705034a0009365</t>
  </si>
  <si>
    <t>103795625
(IFU 0902-90-191)</t>
  </si>
  <si>
    <t>COUGAR® LS Instruments</t>
  </si>
  <si>
    <t>TD31022</t>
  </si>
  <si>
    <t>0705034a000625S
0705034a0005965
0705034a000605N
0705034a000615Q
0705034a0005863</t>
  </si>
  <si>
    <t>DePuy Guidewire Instruments</t>
  </si>
  <si>
    <t>TD31080</t>
  </si>
  <si>
    <t>0705034a001445V</t>
  </si>
  <si>
    <t>DePuy Synthes Spine Cases and Trays</t>
  </si>
  <si>
    <t>TD31083</t>
  </si>
  <si>
    <t>0705034a0001159
0705034a002245U</t>
  </si>
  <si>
    <t>103799346 (eIFU-0902-90-186) 
103609085 (090290173_eIFU)</t>
  </si>
  <si>
    <t>Expedium Advance Instruments</t>
  </si>
  <si>
    <t>TD31051</t>
  </si>
  <si>
    <t>0705034a001045H</t>
  </si>
  <si>
    <t>EXPEDIUM and TriALTIS Instruments</t>
  </si>
  <si>
    <t>TD31046</t>
  </si>
  <si>
    <t>0705034a001075P
0705034a001085R
0705034a001055K
0705034a001065M
0705034a001105C 
0705034a001095T
0705034a002605Y</t>
  </si>
  <si>
    <t>EXPEDIUM and TriALTIS POWER INSTRUMENTS</t>
  </si>
  <si>
    <t>TD31047</t>
  </si>
  <si>
    <t>0705034a000905X
0705034a000915Z
0705034a0009263
0705034a002525Z
0705034a0025363</t>
  </si>
  <si>
    <t>Expedium Anterior Instruments</t>
  </si>
  <si>
    <t>TD31105</t>
  </si>
  <si>
    <t>0705034a001215H
0705034a001205F</t>
  </si>
  <si>
    <t>Expedium Offset Instruments</t>
  </si>
  <si>
    <t>TD31115</t>
  </si>
  <si>
    <t>Expedium Osteotomy Instruments</t>
  </si>
  <si>
    <t>TD31023</t>
  </si>
  <si>
    <t>EXPEDIUM SFX Cross Connector Instruments</t>
  </si>
  <si>
    <t>TD31106</t>
  </si>
  <si>
    <t>0705034a001185U
0705034a001175S
0705034a001195W</t>
  </si>
  <si>
    <t>EXPEDIUM VERSETM Instruments</t>
  </si>
  <si>
    <t>TD31048</t>
  </si>
  <si>
    <t>0705034a001125G
0705034a001135J
0705034a001145L</t>
  </si>
  <si>
    <t>HEALIX ADVANCE™ SP Biocomposite Anchor</t>
  </si>
  <si>
    <t xml:space="preserve">III </t>
  </si>
  <si>
    <t>MDR-STR-57</t>
  </si>
  <si>
    <t>0886705a00085KR</t>
  </si>
  <si>
    <t>IFU-156550</t>
  </si>
  <si>
    <t>Hemi Hip Components</t>
  </si>
  <si>
    <t>MDR-WRS-STED383</t>
  </si>
  <si>
    <t>501035600 (IFU-090260128)</t>
  </si>
  <si>
    <t>501035609 (PIL-090260129)</t>
  </si>
  <si>
    <t xml:space="preserve"> LCS Complete TiN Knee System</t>
  </si>
  <si>
    <t>MDR-LDS-STED021</t>
  </si>
  <si>
    <t>501128047 (IFU-090260145)</t>
  </si>
  <si>
    <t>501128069 (PIL-090260146)
502251567 (PIL-090260235)
502251715 (PIL-090260236)
502253120 (PIL-090260234)</t>
  </si>
  <si>
    <t>Spinal Measuring Instruments</t>
  </si>
  <si>
    <t>Im</t>
  </si>
  <si>
    <t>TD31061</t>
  </si>
  <si>
    <t>103609085 (eIFU 0902-90-173)
103799346 (eIFU 0902-90-186)</t>
  </si>
  <si>
    <t>MOSS MIAMI Spine System Instruments</t>
  </si>
  <si>
    <t>TD31060</t>
  </si>
  <si>
    <t>0705034a001315L
0705034a001325N</t>
  </si>
  <si>
    <t>103609085
eIFU-0902-90-173</t>
  </si>
  <si>
    <t xml:space="preserve">PIPELINE Access System Instruments </t>
  </si>
  <si>
    <t>TD31014</t>
  </si>
  <si>
    <t>0705034a001405M
0705034a000465U
0705034a0004962
0705034a001415P
0705034a000485Y
0705034a0013964
0705034a000475W</t>
  </si>
  <si>
    <t>103580399 (IFU-0902-90-169 / eIFU-0902-90-169)
103609085 (IFU-0902-90-173 / eIFU-0902-90-173)</t>
  </si>
  <si>
    <t xml:space="preserve">PIPELINE LS Access System Instruments </t>
  </si>
  <si>
    <t>TD31064</t>
  </si>
  <si>
    <t>0705034a001155N
0705034a001165Q</t>
  </si>
  <si>
    <t>103580399
(IFU-0902-90-169 / eIFU-0902-90-169)</t>
  </si>
  <si>
    <t>PIPELINE LS Access System Retractor</t>
  </si>
  <si>
    <t>TD31063</t>
  </si>
  <si>
    <t>0705034a002155T
0705034a002165V</t>
  </si>
  <si>
    <t>501055022
IFU-0902-90-169</t>
  </si>
  <si>
    <t>PIPELINE Access System Blades</t>
  </si>
  <si>
    <t>TD31015</t>
  </si>
  <si>
    <t>0705034a000085L</t>
  </si>
  <si>
    <t>501055022
IFU-090290169</t>
  </si>
  <si>
    <t>PLIF SG Instruments</t>
  </si>
  <si>
    <t>TD31065</t>
  </si>
  <si>
    <t>0705034a000525P
0705034a000545T
0705034a000535R
0705034a000555V
0705034a000575Z
0705034a000565X</t>
  </si>
  <si>
    <t>103609085
IFU-0902-90-173 / eIFU-0902-90-173</t>
  </si>
  <si>
    <t>SKYLINE Anterior Cervical Plate System Instruments (Reusable)</t>
  </si>
  <si>
    <t>TD31005</t>
  </si>
  <si>
    <t>0705034a000655Y</t>
  </si>
  <si>
    <t>Skyline Instruments</t>
  </si>
  <si>
    <t>TD31121</t>
  </si>
  <si>
    <t>0705034a0009467</t>
  </si>
  <si>
    <t>103609085
IFU-0902-90-173</t>
  </si>
  <si>
    <t>Spinal Plating Trial Instruments</t>
  </si>
  <si>
    <t>TD31158</t>
  </si>
  <si>
    <t>0705034a002505V</t>
  </si>
  <si>
    <t>103609085
090290173_eIFU</t>
  </si>
  <si>
    <t>SPOTLIGHT Access System Port Instruments</t>
  </si>
  <si>
    <t>TD31002</t>
  </si>
  <si>
    <t>0705034a002145R</t>
  </si>
  <si>
    <t>501059378
IFU-0902-90-170 / eIFU-0902-90-170</t>
  </si>
  <si>
    <t>SPOTLIGHT Instruments</t>
  </si>
  <si>
    <t xml:space="preserve">Ir </t>
  </si>
  <si>
    <t>TD31001</t>
  </si>
  <si>
    <t>103609085 (IFU-0902-90-173)
103811566 (IFU-0902-90-320)</t>
  </si>
  <si>
    <t>SRT Modified Instruments</t>
  </si>
  <si>
    <r>
      <t xml:space="preserve"> </t>
    </r>
    <r>
      <rPr>
        <sz val="12"/>
        <color rgb="FF000000"/>
        <rFont val="Arial"/>
        <family val="2"/>
      </rPr>
      <t xml:space="preserve">I </t>
    </r>
  </si>
  <si>
    <t>TD31059</t>
  </si>
  <si>
    <t>0705034a0014967</t>
  </si>
  <si>
    <t>SRT Reusable Instruments</t>
  </si>
  <si>
    <t>TD31154</t>
  </si>
  <si>
    <t>0705034a001525U</t>
  </si>
  <si>
    <t>SRT Reusable Measuring Instruments</t>
  </si>
  <si>
    <t>TD31156</t>
  </si>
  <si>
    <t>0705034a001535W</t>
  </si>
  <si>
    <t xml:space="preserve">Surgeon Specific Instruments </t>
  </si>
  <si>
    <r>
      <t xml:space="preserve"> </t>
    </r>
    <r>
      <rPr>
        <sz val="12"/>
        <color rgb="FF000000"/>
        <rFont val="Arial"/>
        <family val="2"/>
      </rPr>
      <t>Ir</t>
    </r>
    <r>
      <rPr>
        <b/>
        <sz val="12"/>
        <color rgb="FF000000"/>
        <rFont val="Arial"/>
        <family val="2"/>
      </rPr>
      <t>,</t>
    </r>
    <r>
      <rPr>
        <sz val="12"/>
        <color rgb="FF000000"/>
        <rFont val="Arial"/>
        <family val="2"/>
      </rPr>
      <t xml:space="preserve"> IIa</t>
    </r>
  </si>
  <si>
    <t>MDR-LDS-STED082</t>
  </si>
  <si>
    <t>103617150 (IFU-0902-60-001)
103617125 (IFU-0902-60-002)
103774485 (IFU-0902-60-046) 
103750786 (IFU-0902-60-035)</t>
  </si>
  <si>
    <t>103551212
103570834
103610961</t>
  </si>
  <si>
    <t>Surgical Instruments – Reusable and Measuring</t>
  </si>
  <si>
    <t xml:space="preserve"> I </t>
  </si>
  <si>
    <t>MDR-STR-02</t>
  </si>
  <si>
    <t>IFU-149950
IFU-157127
IFU-149989
IFU-157079
IFU-157094
IFU-157095
IFU-157097
IFU-157098
IFU-157099
IFU-157110
IFU-189568
IFU-189569</t>
  </si>
  <si>
    <t>SYMPHONY OCT Reusable Instruments</t>
  </si>
  <si>
    <t xml:space="preserve"> Ir</t>
  </si>
  <si>
    <t>TD31148</t>
  </si>
  <si>
    <t xml:space="preserve">103799346
eIFU-0902-90-186 </t>
  </si>
  <si>
    <t>SYMPHONYTM OCT System Instruments (Power)</t>
  </si>
  <si>
    <t xml:space="preserve"> TD31150</t>
  </si>
  <si>
    <t>0705034a0021963</t>
  </si>
  <si>
    <t xml:space="preserve">T.L.I.F. SG Instruments </t>
  </si>
  <si>
    <t>TD31069</t>
  </si>
  <si>
    <t>0705034a000735X
0705034a000745Z
0705034a0007563
0705034a0007767</t>
  </si>
  <si>
    <t>BENGAL Instruments</t>
  </si>
  <si>
    <t xml:space="preserve"> TD31038</t>
  </si>
  <si>
    <t>0705034a002175X</t>
  </si>
  <si>
    <t>Expedium Power Instruments</t>
  </si>
  <si>
    <t>TD31124</t>
  </si>
  <si>
    <t>0705034a002055Q</t>
  </si>
  <si>
    <t>Expedium and Viper Fenestrated Screw Cannula Instruments</t>
  </si>
  <si>
    <t>TD31155</t>
  </si>
  <si>
    <t>0705034a002205L</t>
  </si>
  <si>
    <t>501234808
IFU-090290336</t>
  </si>
  <si>
    <t>VIPER PRIME Instruments</t>
  </si>
  <si>
    <t>TD31007</t>
  </si>
  <si>
    <t>0705034a001295Z
0705034a001305J</t>
  </si>
  <si>
    <t>VIPER System Instruments</t>
  </si>
  <si>
    <t>TD31078</t>
  </si>
  <si>
    <t>103609085
090290173_Eifu</t>
  </si>
  <si>
    <t>TRI-LOCK BPS Hip System</t>
  </si>
  <si>
    <t>MDR-WRS-STED369</t>
  </si>
  <si>
    <t>0603295a003228F</t>
  </si>
  <si>
    <t>501002108 (IFU-090260116)</t>
  </si>
  <si>
    <t>501002119 (PIL-090260117)</t>
  </si>
  <si>
    <t>MDR-WRS-STED392</t>
  </si>
  <si>
    <t>0603295a0057196
0603295a002928X
0603295a002918V
0603295a002908T
0603295a002899A</t>
  </si>
  <si>
    <t>502033308 (IFU-090260022SW19)
501488496 (IFU-090260192 (SW1.1))</t>
  </si>
  <si>
    <t>VELYSTM Robotic-Assisted Solution – Class I Devices</t>
  </si>
  <si>
    <t>MDR-WRS-STED394</t>
  </si>
  <si>
    <t>0603295a0029493
0603295a002938Z
0603295a0029595</t>
  </si>
  <si>
    <t>501943507 (IFU-090260022SW18)
502033308 (IFU-090260022SW19)
501488496 (IFU-090260192 (SW1.1))</t>
  </si>
  <si>
    <t>TRUESPAN™ Meniscal Repair System PLGA</t>
  </si>
  <si>
    <t>MDR-STR-10</t>
  </si>
  <si>
    <t>0886705a00026k9</t>
  </si>
  <si>
    <t xml:space="preserve">501182387
IFU-152238 </t>
  </si>
  <si>
    <t>501182415
ePIL-152238</t>
  </si>
  <si>
    <t>PUREVUE Visualization System</t>
  </si>
  <si>
    <t>MDR-CE-01</t>
  </si>
  <si>
    <t>0886705a00008K7
0886705a00029KF
0886705a00028KD
0886705a00011JU
0886705a00009K9
0886705a00010JS</t>
  </si>
  <si>
    <t>103609953 (IFU-149995)
103609954 (IFU-149996)
103609901 (IFU-149998)
103609841 (IFU-149997)
103607199 (IFU-149957)
103786331 (IFU-275309)</t>
  </si>
  <si>
    <t>Trocars and Obturators</t>
  </si>
  <si>
    <t>MDR-CE-02</t>
  </si>
  <si>
    <t>0886705a00095KU</t>
  </si>
  <si>
    <t>501296758
IFU-149993</t>
  </si>
  <si>
    <t>DOC_MDR-CMW-STED602</t>
  </si>
  <si>
    <t>831205
831603
3206022
3210003
3210010
3210016
831202</t>
  </si>
  <si>
    <t>0603295a0000 37U
0603295a0000 27S
0603295a0000 47W
0603295a0000 57Y</t>
  </si>
  <si>
    <t>DOC_MDR-CMW-STED609</t>
  </si>
  <si>
    <t xml:space="preserve">3206002 
3206005 
3206045 
3206052 
3206055 
3206060 
3206065 </t>
  </si>
  <si>
    <t>831215
831220
831230
831231
831615
3201010
3203010</t>
  </si>
  <si>
    <t>DOC_MDR-CMW-STED604</t>
  </si>
  <si>
    <t>130770018
130770024
130770030
130770036
130770042
130790024
130790030
130790036
130790042
130790048</t>
  </si>
  <si>
    <t>451580051
451580052</t>
  </si>
  <si>
    <t>410270112
410270116
410270120
410270228
410270232
410270236
410270342
410270348
410270354</t>
  </si>
  <si>
    <t>697100029
697100037
697100038
697100039
697100040</t>
  </si>
  <si>
    <t>279726500
279726508</t>
  </si>
  <si>
    <t>202000155
202000330
202000335
202000340
202044206
202044208
202044210
202044212
202044214
202044216</t>
  </si>
  <si>
    <t>0705034a002015G
0705034a002025J
0705034a002035L
0705034a002045N</t>
  </si>
  <si>
    <t>DOC_MDR-LDS-STED098</t>
  </si>
  <si>
    <t>DOC_MDR-LDS-STED097</t>
  </si>
  <si>
    <t>DOC_MDR-WRS-STED381</t>
  </si>
  <si>
    <t>DOC_MDR-LDS-STED082</t>
  </si>
  <si>
    <t>DOC_MDR-WRS-STED356</t>
  </si>
  <si>
    <t>DOC_MDR-LDS-STED095</t>
  </si>
  <si>
    <t>DOC_MDR-WRS-STED380</t>
  </si>
  <si>
    <t>DOC_MDR-WRS-STED329</t>
  </si>
  <si>
    <t>DOC_MDR-LDS-STED093</t>
  </si>
  <si>
    <t>DOC_MDR-WRS-STED393</t>
  </si>
  <si>
    <t>DOC_MDR-STR-04</t>
  </si>
  <si>
    <t>TD31136</t>
  </si>
  <si>
    <t>AET30101T
AET30102T
AET20101T
AET20102T
AET30120T
AET30121T</t>
  </si>
  <si>
    <t>LET20100T
LET20101T
LET30100T
LET30101T
LET30200T
LET10800T
LET11000T
LET11200T
LET11400T
LET11600T
TFT20102T
AET10208T
AET10210T
AET10212T
AET10214T
AET10216T
AET10218T</t>
  </si>
  <si>
    <t>TET30201T
TFT20101T
TFT20103T
TFT30101T
TFT30102T</t>
  </si>
  <si>
    <t>CET30101T
CET30131T
CET60147T
CET30201T
CET60100T</t>
  </si>
  <si>
    <t>279703140P
279703150P</t>
  </si>
  <si>
    <t>286820012
286820014
286820016
286820112
286820114
286820116</t>
  </si>
  <si>
    <t>DOC_MDR-WRS-STED369</t>
  </si>
  <si>
    <t>DOC_MDR-WRS-STED383</t>
  </si>
  <si>
    <t>DOC_MDR-CMW-STED607</t>
  </si>
  <si>
    <t>698342690
698342691
698342852
698342948
698342949</t>
  </si>
  <si>
    <t>273310001
273310002
273310100</t>
  </si>
  <si>
    <t>501256676
501258639</t>
  </si>
  <si>
    <t>501254061
501256669</t>
  </si>
  <si>
    <t>103804435_TDAL</t>
  </si>
  <si>
    <t>DOC_MDR-STR-57</t>
  </si>
  <si>
    <t>228052
228053</t>
  </si>
  <si>
    <t>204201
204203
204205
204206</t>
  </si>
  <si>
    <t>163005515
163005530
163005540
163010515</t>
  </si>
  <si>
    <t>286705200
286705210
286705220
286705230
286705320
286705330
286705340</t>
  </si>
  <si>
    <t>279722950
279722955
279722956</t>
  </si>
  <si>
    <t>Product codes / SKU ref</t>
  </si>
  <si>
    <t>TD</t>
  </si>
  <si>
    <t>EU DoC number</t>
  </si>
  <si>
    <t>EU TDA CERT</t>
  </si>
  <si>
    <t>502222769 (MDR 744049)</t>
  </si>
  <si>
    <t>MDR 739493</t>
  </si>
  <si>
    <t>MDR 755949</t>
  </si>
  <si>
    <t>MDR 755899</t>
  </si>
  <si>
    <t>MDR 755897</t>
  </si>
  <si>
    <t>MDR 755950</t>
  </si>
  <si>
    <t>MDR 743997</t>
  </si>
  <si>
    <t>MDR 743994</t>
  </si>
  <si>
    <t>MDR 755210</t>
  </si>
  <si>
    <t>MDR 776552</t>
  </si>
  <si>
    <t>MDR 776546</t>
  </si>
  <si>
    <t>MDR 749703</t>
  </si>
  <si>
    <t>MDR 772188</t>
  </si>
  <si>
    <t>MDR 724423</t>
  </si>
  <si>
    <t>MDR 772184</t>
  </si>
  <si>
    <t>MDR 772179</t>
  </si>
  <si>
    <t>MDR 772189</t>
  </si>
  <si>
    <t>MDR 783770</t>
  </si>
  <si>
    <t>MDR 783768</t>
  </si>
  <si>
    <t>MDR 783017</t>
  </si>
  <si>
    <t>MDR 768080</t>
  </si>
  <si>
    <t>MDR 772191</t>
  </si>
  <si>
    <t>MDR 772181</t>
  </si>
  <si>
    <t>MDR 772183</t>
  </si>
  <si>
    <t>MDR 768081</t>
  </si>
  <si>
    <t>MDR 768078</t>
  </si>
  <si>
    <t>MDR 755951</t>
  </si>
  <si>
    <t>MDR 781953</t>
  </si>
  <si>
    <t>MDR 776548</t>
  </si>
  <si>
    <t>MDR 749714</t>
  </si>
  <si>
    <t>MDR 749707</t>
  </si>
  <si>
    <t>MDR 768077</t>
  </si>
  <si>
    <t>MDR 745241</t>
  </si>
  <si>
    <t>MDR 776528</t>
  </si>
  <si>
    <t>MDR 781843</t>
  </si>
  <si>
    <t>MDR 776531</t>
  </si>
  <si>
    <t>MDR 776550</t>
  </si>
  <si>
    <t>MDR 755208</t>
  </si>
  <si>
    <t>MDR 776551</t>
  </si>
  <si>
    <t>MDR 776556</t>
  </si>
  <si>
    <t>MDR 776537</t>
  </si>
  <si>
    <t>MDR 776549</t>
  </si>
  <si>
    <t xml:space="preserve">MDR 776533 </t>
  </si>
  <si>
    <t>MDR 755207</t>
  </si>
  <si>
    <t>MDR 755211</t>
  </si>
  <si>
    <t>MDR 776541</t>
  </si>
  <si>
    <t>MDR 772193</t>
  </si>
  <si>
    <t>MDR 743875</t>
  </si>
  <si>
    <t>MDR 768082</t>
  </si>
  <si>
    <t>MDR 781955</t>
  </si>
  <si>
    <t>MDR 781841</t>
  </si>
  <si>
    <t>MDR 776518</t>
  </si>
  <si>
    <t>MDR 749699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</si>
</sst>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x14ac:knownFonts="1">
    <font>
      <sz val="11"/>
      <color theme="1"/>
      <name val="Calibri"/>
      <family val="2"/>
      <scheme val="minor"/>
    </font>
    <font>
      <b/>
      <sz val="11"/>
      <color theme="1"/>
      <name val="Calibri"/>
      <family val="2"/>
      <scheme val="minor"/>
    </font>
    <font>
      <sz val="11"/>
      <color theme="1"/>
      <name val="Calibri"/>
      <family val="2"/>
      <scheme val="minor"/>
    </font>
    <font>
      <sz val="11"/>
      <color rgb="FFFF0000"/>
      <name val="Calibri"/>
      <family val="2"/>
      <scheme val="minor"/>
    </font>
    <font>
      <sz val="11"/>
      <color theme="1"/>
      <name val="Calibri"/>
      <family val="2"/>
    </font>
    <font>
      <b/>
      <sz val="12"/>
      <color theme="0"/>
      <name val="Calibri"/>
      <family val="2"/>
      <scheme val="minor"/>
    </font>
    <font>
      <sz val="11"/>
      <color rgb="FF000000"/>
      <name val="Calibri"/>
      <family val="2"/>
      <scheme val="minor"/>
    </font>
    <font>
      <sz val="11"/>
      <name val="Calibri"/>
      <family val="2"/>
      <scheme val="minor"/>
    </font>
    <font>
      <sz val="11"/>
      <color rgb="FF000000"/>
      <name val="Aptos"/>
      <family val="2"/>
    </font>
    <font>
      <sz val="10"/>
      <color theme="1"/>
      <name val="Arial"/>
      <family val="2"/>
    </font>
    <font>
      <u/>
      <sz val="11"/>
      <color theme="10"/>
      <name val="Calibri"/>
      <family val="2"/>
      <scheme val="minor"/>
    </font>
    <font>
      <sz val="11"/>
      <name val="Arial"/>
      <family val="2"/>
    </font>
    <font>
      <sz val="10"/>
      <color theme="1"/>
      <name val="Calibri"/>
      <family val="2"/>
      <scheme val="minor"/>
    </font>
    <font>
      <sz val="11"/>
      <color rgb="FF20262A"/>
      <name val="Calibri"/>
      <family val="2"/>
      <scheme val="minor"/>
    </font>
    <font>
      <b/>
      <sz val="12"/>
      <color rgb="FF000000"/>
      <name val="Arial"/>
      <family val="2"/>
    </font>
    <font>
      <sz val="12"/>
      <color theme="1"/>
      <name val="Arial"/>
      <family val="2"/>
    </font>
    <font>
      <sz val="8"/>
      <color theme="1"/>
      <name val="Calibri"/>
      <family val="2"/>
      <scheme val="minor"/>
    </font>
    <font>
      <sz val="11"/>
      <color theme="8" tint="0.39997558519241921"/>
      <name val="Calibri"/>
      <family val="2"/>
      <scheme val="minor"/>
    </font>
    <font>
      <sz val="12"/>
      <color rgb="FF000000"/>
      <name val="Arial"/>
      <family val="2"/>
    </font>
    <font>
      <vertAlign val="superscript"/>
      <sz val="11"/>
      <color theme="1"/>
      <name val="Calibri"/>
      <family val="2"/>
      <scheme val="minor"/>
    </font>
    <font>
      <sz val="12"/>
      <color rgb="FF20262A"/>
      <name val="Segoe UI"/>
      <family val="2"/>
    </font>
    <font>
      <sz val="10"/>
      <name val="Arial"/>
      <family val="2"/>
    </font>
    <font>
      <sz val="10"/>
      <color theme="1"/>
      <name val="Calibri Light"/>
      <family val="2"/>
      <scheme val="major"/>
    </font>
    <font>
      <sz val="10"/>
      <color rgb="FF000000"/>
      <name val="Calibri"/>
      <family val="2"/>
    </font>
  </fonts>
  <fills count="5">
    <fill>
      <patternFill patternType="none"/>
    </fill>
    <fill>
      <patternFill patternType="gray125"/>
    </fill>
    <fill>
      <patternFill patternType="solid">
        <fgColor theme="3" tint="9.9978637043366805E-2"/>
        <bgColor indexed="64"/>
      </patternFill>
    </fill>
    <fill>
      <patternFill patternType="solid">
        <fgColor theme="3"/>
        <bgColor indexed="64"/>
      </patternFill>
    </fill>
    <fill>
      <patternFill patternType="solid">
        <fgColor theme="2" tint="-0.89999084444715716"/>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medium">
        <color indexed="64"/>
      </left>
      <right/>
      <top/>
      <bottom/>
      <diagonal/>
    </border>
  </borders>
  <cellStyleXfs count="3">
    <xf numFmtId="0" fontId="0" fillId="0" borderId="0"/>
    <xf numFmtId="0" fontId="10" fillId="0" borderId="0" applyNumberFormat="0" applyFill="0" applyBorder="0" applyAlignment="0" applyProtection="0"/>
    <xf numFmtId="0" fontId="12" fillId="0" borderId="0"/>
  </cellStyleXfs>
  <cellXfs count="73">
    <xf numFmtId="0" fontId="0" fillId="0" borderId="0" xfId="0"/>
    <xf numFmtId="0" fontId="0" fillId="0" borderId="0" xfId="0" applyAlignment="1">
      <alignment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49" fontId="0" fillId="0" borderId="1" xfId="0" applyNumberFormat="1" applyBorder="1" applyAlignment="1">
      <alignment horizontal="center" vertical="center" wrapText="1"/>
    </xf>
    <xf numFmtId="0" fontId="0" fillId="0" borderId="2" xfId="0" applyBorder="1" applyAlignment="1">
      <alignment horizontal="left" vertical="center" wrapText="1"/>
    </xf>
    <xf numFmtId="49" fontId="0" fillId="0" borderId="3" xfId="0" applyNumberFormat="1" applyBorder="1" applyAlignment="1">
      <alignment horizontal="center" vertical="center" wrapText="1"/>
    </xf>
    <xf numFmtId="0" fontId="0" fillId="0" borderId="1" xfId="0" applyBorder="1" applyAlignment="1">
      <alignment horizontal="center" vertical="center" wrapText="1"/>
    </xf>
    <xf numFmtId="0" fontId="0" fillId="0" borderId="1" xfId="0" applyBorder="1" applyAlignment="1">
      <alignment horizontal="left" vertical="center" wrapText="1"/>
    </xf>
    <xf numFmtId="0" fontId="0" fillId="0" borderId="4" xfId="0" applyBorder="1" applyAlignment="1">
      <alignment horizontal="center" vertical="center" wrapText="1"/>
    </xf>
    <xf numFmtId="0" fontId="7" fillId="0" borderId="1" xfId="0" applyFont="1" applyBorder="1" applyAlignment="1">
      <alignment horizontal="center" vertical="center" wrapText="1"/>
    </xf>
    <xf numFmtId="49" fontId="0" fillId="0" borderId="4" xfId="0" applyNumberFormat="1" applyBorder="1" applyAlignment="1">
      <alignment horizontal="center" vertical="center" wrapText="1"/>
    </xf>
    <xf numFmtId="0" fontId="6" fillId="0" borderId="1" xfId="0" applyFont="1" applyBorder="1" applyAlignment="1">
      <alignment horizontal="center" vertical="center" wrapText="1"/>
    </xf>
    <xf numFmtId="0" fontId="6" fillId="0" borderId="4" xfId="0" applyFont="1" applyBorder="1" applyAlignment="1">
      <alignment horizontal="center" vertical="center" wrapText="1"/>
    </xf>
    <xf numFmtId="0" fontId="6" fillId="0" borderId="6" xfId="0" applyFont="1" applyBorder="1" applyAlignment="1">
      <alignment horizontal="center" vertical="center" wrapText="1"/>
    </xf>
    <xf numFmtId="49" fontId="0" fillId="0" borderId="1" xfId="0" applyNumberFormat="1" applyBorder="1" applyAlignment="1">
      <alignment horizontal="center" vertical="top" wrapText="1"/>
    </xf>
    <xf numFmtId="0" fontId="3" fillId="0" borderId="1" xfId="0" applyFont="1" applyBorder="1" applyAlignment="1">
      <alignment horizontal="center" vertical="center" wrapText="1"/>
    </xf>
    <xf numFmtId="0" fontId="2" fillId="0" borderId="1" xfId="1" applyFont="1" applyBorder="1" applyAlignment="1">
      <alignment horizontal="center" vertical="center" wrapText="1"/>
    </xf>
    <xf numFmtId="0" fontId="0" fillId="0" borderId="7" xfId="0" applyBorder="1" applyAlignment="1">
      <alignment horizontal="center" vertical="center" wrapText="1"/>
    </xf>
    <xf numFmtId="49" fontId="7" fillId="0" borderId="4" xfId="0" applyNumberFormat="1" applyFont="1" applyBorder="1" applyAlignment="1">
      <alignment horizontal="center" vertical="center" wrapText="1"/>
    </xf>
    <xf numFmtId="0" fontId="6" fillId="0" borderId="1" xfId="0" applyFont="1" applyBorder="1" applyAlignment="1">
      <alignment horizontal="center" wrapText="1"/>
    </xf>
    <xf numFmtId="0" fontId="0" fillId="0" borderId="1" xfId="0" applyBorder="1" applyAlignment="1">
      <alignment horizontal="center" wrapText="1"/>
    </xf>
    <xf numFmtId="0" fontId="0" fillId="0" borderId="1" xfId="0" applyBorder="1" applyAlignment="1">
      <alignment wrapText="1"/>
    </xf>
    <xf numFmtId="0" fontId="11" fillId="0" borderId="8" xfId="0" applyFont="1" applyBorder="1" applyAlignment="1">
      <alignment horizontal="left" vertical="center" wrapText="1"/>
    </xf>
    <xf numFmtId="0" fontId="9" fillId="0" borderId="1" xfId="0" applyFont="1" applyBorder="1" applyAlignment="1">
      <alignment horizontal="center" wrapText="1"/>
    </xf>
    <xf numFmtId="0" fontId="0" fillId="0" borderId="5" xfId="0" applyBorder="1" applyAlignment="1">
      <alignment wrapText="1"/>
    </xf>
    <xf numFmtId="49" fontId="7" fillId="0" borderId="1" xfId="0" applyNumberFormat="1" applyFont="1" applyBorder="1" applyAlignment="1">
      <alignment horizontal="center" vertical="center" wrapText="1"/>
    </xf>
    <xf numFmtId="49" fontId="0" fillId="0" borderId="1" xfId="2" applyNumberFormat="1" applyFont="1" applyBorder="1" applyAlignment="1">
      <alignment horizontal="center" vertical="center" wrapText="1"/>
    </xf>
    <xf numFmtId="0" fontId="0" fillId="0" borderId="9" xfId="0" applyBorder="1" applyAlignment="1">
      <alignment horizontal="center" vertical="center" wrapText="1"/>
    </xf>
    <xf numFmtId="49" fontId="3" fillId="0" borderId="1" xfId="0" applyNumberFormat="1" applyFont="1" applyBorder="1" applyAlignment="1">
      <alignment horizontal="center" vertical="center" wrapText="1"/>
    </xf>
    <xf numFmtId="0" fontId="13" fillId="0" borderId="1" xfId="0" applyFont="1" applyBorder="1" applyAlignment="1">
      <alignment horizontal="center" vertical="center" wrapText="1"/>
    </xf>
    <xf numFmtId="0" fontId="0" fillId="0" borderId="10" xfId="0" applyBorder="1" applyAlignment="1">
      <alignment horizontal="center" vertical="center" wrapText="1"/>
    </xf>
    <xf numFmtId="0" fontId="0" fillId="0" borderId="1" xfId="0" applyBorder="1" applyAlignment="1">
      <alignment horizontal="left" wrapText="1"/>
    </xf>
    <xf numFmtId="0" fontId="0" fillId="0" borderId="1" xfId="0" applyBorder="1" applyAlignment="1">
      <alignment vertical="center" wrapText="1"/>
    </xf>
    <xf numFmtId="0" fontId="0" fillId="0" borderId="7" xfId="0" applyBorder="1" applyAlignment="1">
      <alignment horizontal="left" vertical="center" wrapText="1"/>
    </xf>
    <xf numFmtId="0" fontId="11" fillId="0" borderId="1" xfId="0" applyFont="1" applyBorder="1" applyAlignment="1">
      <alignment horizontal="left" vertical="center" wrapText="1"/>
    </xf>
    <xf numFmtId="0" fontId="0" fillId="0" borderId="7" xfId="0" applyBorder="1" applyAlignment="1">
      <alignment horizontal="center" wrapText="1"/>
    </xf>
    <xf numFmtId="0" fontId="0" fillId="0" borderId="7" xfId="0" applyBorder="1" applyAlignment="1">
      <alignment horizontal="left" wrapText="1"/>
    </xf>
    <xf numFmtId="0" fontId="16" fillId="0" borderId="1" xfId="0" applyFont="1" applyBorder="1" applyAlignment="1">
      <alignment vertical="center" wrapText="1"/>
    </xf>
    <xf numFmtId="0" fontId="0" fillId="0" borderId="5" xfId="0" applyBorder="1" applyAlignment="1">
      <alignment horizontal="center" vertical="center" wrapText="1"/>
    </xf>
    <xf numFmtId="0" fontId="11" fillId="0" borderId="1" xfId="0" applyFont="1" applyBorder="1" applyAlignment="1">
      <alignment horizontal="center" vertical="center" wrapText="1"/>
    </xf>
    <xf numFmtId="0" fontId="0" fillId="0" borderId="0" xfId="0" applyAlignment="1">
      <alignment horizontal="center" wrapText="1"/>
    </xf>
    <xf numFmtId="0" fontId="11" fillId="0" borderId="7" xfId="0" applyFont="1" applyBorder="1" applyAlignment="1">
      <alignment horizontal="left" vertical="center" wrapText="1"/>
    </xf>
    <xf numFmtId="0" fontId="11" fillId="0" borderId="9" xfId="0" applyFont="1" applyBorder="1" applyAlignment="1">
      <alignment horizontal="left" vertical="center" wrapText="1"/>
    </xf>
    <xf numFmtId="0" fontId="9" fillId="0" borderId="0" xfId="0" applyFont="1" applyAlignment="1">
      <alignment horizontal="center" wrapText="1"/>
    </xf>
    <xf numFmtId="0" fontId="4" fillId="0" borderId="1" xfId="0" applyFont="1" applyBorder="1" applyAlignment="1">
      <alignment horizontal="center" wrapText="1"/>
    </xf>
    <xf numFmtId="0" fontId="9" fillId="0" borderId="1" xfId="0" applyFont="1" applyBorder="1" applyAlignment="1">
      <alignment vertical="center" wrapText="1"/>
    </xf>
    <xf numFmtId="0" fontId="14" fillId="0" borderId="1" xfId="0" applyFont="1" applyBorder="1" applyAlignment="1">
      <alignment vertical="center" wrapText="1"/>
    </xf>
    <xf numFmtId="0" fontId="15" fillId="0" borderId="1" xfId="0" applyFont="1" applyBorder="1" applyAlignment="1">
      <alignment horizontal="center" vertical="center" wrapText="1"/>
    </xf>
    <xf numFmtId="0" fontId="15" fillId="0" borderId="1" xfId="0" applyFont="1" applyBorder="1" applyAlignment="1">
      <alignment vertical="center" wrapText="1"/>
    </xf>
    <xf numFmtId="0" fontId="6" fillId="0" borderId="5" xfId="0" applyFont="1" applyBorder="1" applyAlignment="1">
      <alignment horizontal="center" vertical="center" wrapText="1"/>
    </xf>
    <xf numFmtId="0" fontId="8" fillId="0" borderId="1" xfId="0" applyFont="1" applyBorder="1" applyAlignment="1">
      <alignment horizontal="center" vertical="center" wrapText="1"/>
    </xf>
    <xf numFmtId="0" fontId="0" fillId="0" borderId="0" xfId="0" applyAlignment="1">
      <alignment horizontal="center" vertical="center" wrapText="1"/>
    </xf>
    <xf numFmtId="0" fontId="9" fillId="0" borderId="1" xfId="0" applyFont="1" applyBorder="1" applyAlignment="1">
      <alignment horizontal="center" vertical="center" wrapText="1"/>
    </xf>
    <xf numFmtId="0" fontId="0" fillId="0" borderId="2" xfId="0" applyBorder="1" applyAlignment="1">
      <alignment horizontal="center" vertical="center" wrapText="1"/>
    </xf>
    <xf numFmtId="0" fontId="0" fillId="0" borderId="8" xfId="0" applyBorder="1" applyAlignment="1">
      <alignment horizontal="center" vertical="center" wrapText="1"/>
    </xf>
    <xf numFmtId="0" fontId="9" fillId="0" borderId="0" xfId="0" applyFont="1" applyAlignment="1">
      <alignment horizontal="center" vertical="center" wrapText="1"/>
    </xf>
    <xf numFmtId="49" fontId="0" fillId="0" borderId="8" xfId="0" applyNumberFormat="1" applyBorder="1" applyAlignment="1">
      <alignment horizontal="center" vertical="center" wrapText="1"/>
    </xf>
    <xf numFmtId="0" fontId="0" fillId="0" borderId="6" xfId="0" applyBorder="1" applyAlignment="1">
      <alignment horizontal="center" vertical="center" wrapText="1"/>
    </xf>
    <xf numFmtId="0" fontId="0" fillId="0" borderId="11" xfId="0" applyBorder="1" applyAlignment="1">
      <alignment horizontal="center" vertical="center" wrapText="1"/>
    </xf>
    <xf numFmtId="0" fontId="11" fillId="0" borderId="12" xfId="0" applyFont="1" applyBorder="1" applyAlignment="1">
      <alignment horizontal="left" vertical="center"/>
    </xf>
    <xf numFmtId="0" fontId="7" fillId="0" borderId="1" xfId="0" applyFont="1" applyBorder="1" applyAlignment="1">
      <alignment horizontal="left" vertical="center" wrapText="1"/>
    </xf>
    <xf numFmtId="0" fontId="5" fillId="3" borderId="1" xfId="0" applyFont="1" applyFill="1" applyBorder="1" applyAlignment="1">
      <alignment horizontal="center" vertical="center" wrapText="1"/>
    </xf>
    <xf numFmtId="0" fontId="20" fillId="0" borderId="0" xfId="0" applyFont="1" applyAlignment="1">
      <alignment wrapText="1"/>
    </xf>
    <xf numFmtId="0" fontId="7" fillId="0" borderId="5" xfId="0" applyFont="1" applyBorder="1" applyAlignment="1">
      <alignment horizontal="center" vertical="center" wrapText="1"/>
    </xf>
    <xf numFmtId="0" fontId="21" fillId="0" borderId="8" xfId="0" applyFont="1" applyBorder="1" applyAlignment="1">
      <alignment horizontal="center" vertical="center" wrapText="1"/>
    </xf>
    <xf numFmtId="0" fontId="12" fillId="0" borderId="1" xfId="0" applyFont="1" applyBorder="1" applyAlignment="1">
      <alignment horizontal="center" wrapText="1"/>
    </xf>
    <xf numFmtId="0" fontId="22" fillId="0" borderId="1" xfId="0" applyFont="1" applyBorder="1" applyAlignment="1">
      <alignment horizontal="center" wrapText="1"/>
    </xf>
    <xf numFmtId="0" fontId="7" fillId="0" borderId="8" xfId="0" applyFont="1" applyBorder="1" applyAlignment="1">
      <alignment horizontal="center" vertical="center" wrapText="1"/>
    </xf>
    <xf numFmtId="0" fontId="5" fillId="4" borderId="1" xfId="0" applyFont="1" applyFill="1" applyBorder="1" applyAlignment="1">
      <alignment horizontal="center" vertical="center" wrapText="1"/>
    </xf>
    <xf numFmtId="0" fontId="23" fillId="0" borderId="1" xfId="0" applyFont="1" applyBorder="1" applyAlignment="1">
      <alignment horizontal="center" vertical="center" wrapText="1" readingOrder="1"/>
    </xf>
    <xf numFmtId="0" fontId="0" fillId="0" borderId="5" xfId="0" applyBorder="1" applyAlignment="1">
      <alignment horizontal="center" wrapText="1"/>
    </xf>
    <xf numFmtId="0" fontId="21" fillId="0" borderId="0" xfId="0" applyFont="1" applyAlignment="1">
      <alignment horizontal="center" wrapText="1"/>
    </xf>
  </cellXfs>
  <cellStyles count="3">
    <cellStyle name="Hyperlink" xfId="1" builtinId="8"/>
    <cellStyle name="Normal" xfId="0" builtinId="0"/>
    <cellStyle name="Normal 2 4" xfId="2" xr:uid="{F4429F80-A3CF-491C-8B67-E6E63BA6C4ED}"/>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9EFCA4-C8E1-4329-9F21-66B939FA6A4F}">
  <dimension ref="A1:M177"/>
  <sheetViews>
    <sheetView tabSelected="1" zoomScale="80" zoomScaleNormal="80" workbookViewId="0">
      <selection activeCell="M4" sqref="M4"/>
    </sheetView>
  </sheetViews>
  <sheetFormatPr defaultRowHeight="15" x14ac:dyDescent="0.25"/>
  <cols>
    <col min="1" max="1" width="29.85546875" style="1" customWidth="1"/>
    <col min="2" max="2" width="9.140625" style="1"/>
    <col min="3" max="3" width="20" style="1" customWidth="1"/>
    <col min="4" max="4" width="22.28515625" style="1" customWidth="1"/>
    <col min="5" max="5" width="29" style="1" customWidth="1"/>
    <col min="6" max="6" width="19.28515625" style="1" customWidth="1"/>
    <col min="7" max="7" width="13.28515625" style="1" customWidth="1"/>
    <col min="8" max="8" width="14.42578125" style="1" customWidth="1"/>
    <col min="9" max="9" width="11.5703125" style="1" customWidth="1"/>
    <col min="10" max="10" width="28.5703125" style="1" customWidth="1"/>
    <col min="11" max="11" width="19.28515625" style="1" customWidth="1"/>
    <col min="12" max="12" width="12.85546875" style="1" customWidth="1"/>
    <col min="13" max="13" width="87.85546875" style="1" customWidth="1"/>
  </cols>
  <sheetData>
    <row r="1" spans="1:13" ht="47.25" x14ac:dyDescent="0.25">
      <c r="A1" s="2" t="s">
        <v>0</v>
      </c>
      <c r="B1" s="3" t="s">
        <v>1</v>
      </c>
      <c r="C1" s="2" t="s">
        <v>882</v>
      </c>
      <c r="D1" s="2" t="s">
        <v>2</v>
      </c>
      <c r="E1" s="62" t="s">
        <v>883</v>
      </c>
      <c r="F1" s="2" t="s">
        <v>3</v>
      </c>
      <c r="G1" s="2" t="s">
        <v>881</v>
      </c>
      <c r="H1" s="69" t="s">
        <v>884</v>
      </c>
      <c r="I1" s="2" t="s">
        <v>4</v>
      </c>
      <c r="J1" s="2" t="s">
        <v>5</v>
      </c>
      <c r="K1" s="2" t="s">
        <v>6</v>
      </c>
      <c r="L1" s="2" t="s">
        <v>7</v>
      </c>
      <c r="M1" s="2" t="s">
        <v>8</v>
      </c>
    </row>
    <row r="2" spans="1:13" ht="30" x14ac:dyDescent="0.25">
      <c r="A2" s="4" t="s">
        <v>9</v>
      </c>
      <c r="B2" s="5" t="s">
        <v>16</v>
      </c>
      <c r="C2" s="6" t="s">
        <v>11</v>
      </c>
      <c r="D2" s="7">
        <v>103881877</v>
      </c>
      <c r="E2" s="7">
        <v>103881880</v>
      </c>
      <c r="F2" s="7" t="s">
        <v>12</v>
      </c>
      <c r="G2" s="7"/>
      <c r="H2" s="7"/>
      <c r="I2" s="12">
        <v>103643376</v>
      </c>
      <c r="J2" s="7" t="s">
        <v>13</v>
      </c>
      <c r="K2" s="7" t="s">
        <v>14</v>
      </c>
      <c r="L2" s="7">
        <v>103550448</v>
      </c>
      <c r="M2" s="22"/>
    </row>
    <row r="3" spans="1:13" ht="120" x14ac:dyDescent="0.25">
      <c r="A3" s="7" t="s">
        <v>15</v>
      </c>
      <c r="B3" s="5" t="s">
        <v>16</v>
      </c>
      <c r="C3" s="9" t="s">
        <v>17</v>
      </c>
      <c r="D3" s="9">
        <v>103893503</v>
      </c>
      <c r="E3" s="7">
        <v>501055738</v>
      </c>
      <c r="F3" s="10" t="s">
        <v>18</v>
      </c>
      <c r="G3" s="10"/>
      <c r="H3" s="10"/>
      <c r="I3" s="12">
        <v>103786057</v>
      </c>
      <c r="J3" s="7" t="s">
        <v>19</v>
      </c>
      <c r="K3" s="7" t="s">
        <v>20</v>
      </c>
      <c r="L3" s="7">
        <v>103439865</v>
      </c>
      <c r="M3" s="22"/>
    </row>
    <row r="4" spans="1:13" ht="30" x14ac:dyDescent="0.25">
      <c r="A4" s="7" t="s">
        <v>21</v>
      </c>
      <c r="B4" s="8" t="s">
        <v>22</v>
      </c>
      <c r="C4" s="11" t="s">
        <v>23</v>
      </c>
      <c r="D4" s="9">
        <v>501036552</v>
      </c>
      <c r="E4" s="7">
        <v>501497440</v>
      </c>
      <c r="F4" s="7" t="s">
        <v>24</v>
      </c>
      <c r="G4" s="7"/>
      <c r="H4" s="7">
        <v>501914433</v>
      </c>
      <c r="I4" s="7">
        <v>103850045</v>
      </c>
      <c r="J4" s="12">
        <v>501136965</v>
      </c>
      <c r="K4" s="12">
        <v>501136972</v>
      </c>
      <c r="L4" s="20">
        <v>103387373</v>
      </c>
      <c r="M4" s="22"/>
    </row>
    <row r="5" spans="1:13" ht="210" x14ac:dyDescent="0.25">
      <c r="A5" s="7" t="s">
        <v>25</v>
      </c>
      <c r="B5" s="8" t="s">
        <v>22</v>
      </c>
      <c r="C5" s="11" t="s">
        <v>26</v>
      </c>
      <c r="D5" s="4" t="s">
        <v>26</v>
      </c>
      <c r="E5" s="4" t="s">
        <v>27</v>
      </c>
      <c r="F5" s="7" t="s">
        <v>28</v>
      </c>
      <c r="G5" s="39" t="s">
        <v>29</v>
      </c>
      <c r="H5" s="39" t="s">
        <v>885</v>
      </c>
      <c r="I5" s="39" t="s">
        <v>30</v>
      </c>
      <c r="J5" s="7" t="s">
        <v>31</v>
      </c>
      <c r="K5" s="7">
        <v>103731920</v>
      </c>
      <c r="L5" s="7">
        <v>103376324</v>
      </c>
      <c r="M5" s="22"/>
    </row>
    <row r="6" spans="1:13" ht="30" x14ac:dyDescent="0.25">
      <c r="A6" s="7" t="s">
        <v>32</v>
      </c>
      <c r="B6" s="8" t="s">
        <v>22</v>
      </c>
      <c r="C6" s="9" t="s">
        <v>33</v>
      </c>
      <c r="D6" s="7" t="s">
        <v>33</v>
      </c>
      <c r="E6" s="7" t="s">
        <v>34</v>
      </c>
      <c r="F6" s="7" t="s">
        <v>35</v>
      </c>
      <c r="G6" s="7"/>
      <c r="H6" s="72" t="s">
        <v>886</v>
      </c>
      <c r="I6" s="12">
        <v>103710021</v>
      </c>
      <c r="J6" s="10" t="s">
        <v>36</v>
      </c>
      <c r="K6" s="68" t="s">
        <v>37</v>
      </c>
      <c r="L6" s="10">
        <v>103834180</v>
      </c>
      <c r="M6" s="22"/>
    </row>
    <row r="7" spans="1:13" ht="30" x14ac:dyDescent="0.25">
      <c r="A7" s="7" t="s">
        <v>38</v>
      </c>
      <c r="B7" s="8" t="s">
        <v>22</v>
      </c>
      <c r="C7" s="9" t="s">
        <v>39</v>
      </c>
      <c r="D7" s="7" t="s">
        <v>39</v>
      </c>
      <c r="E7" s="7" t="s">
        <v>40</v>
      </c>
      <c r="F7" s="7" t="s">
        <v>41</v>
      </c>
      <c r="G7" s="7"/>
      <c r="H7" s="7" t="s">
        <v>887</v>
      </c>
      <c r="I7" s="12">
        <v>103779139</v>
      </c>
      <c r="J7" s="7" t="s">
        <v>42</v>
      </c>
      <c r="K7" s="7" t="s">
        <v>43</v>
      </c>
      <c r="L7" s="7">
        <v>103366535</v>
      </c>
      <c r="M7" s="22"/>
    </row>
    <row r="8" spans="1:13" ht="30" x14ac:dyDescent="0.25">
      <c r="A8" s="7" t="s">
        <v>44</v>
      </c>
      <c r="B8" s="8" t="s">
        <v>22</v>
      </c>
      <c r="C8" s="9" t="s">
        <v>45</v>
      </c>
      <c r="D8" s="7" t="s">
        <v>45</v>
      </c>
      <c r="E8" s="7" t="s">
        <v>46</v>
      </c>
      <c r="F8" s="7" t="s">
        <v>47</v>
      </c>
      <c r="G8" s="7"/>
      <c r="H8" s="7" t="s">
        <v>888</v>
      </c>
      <c r="I8" s="12">
        <v>103771861</v>
      </c>
      <c r="J8" s="7" t="s">
        <v>48</v>
      </c>
      <c r="K8" s="7" t="s">
        <v>49</v>
      </c>
      <c r="L8" s="7">
        <v>103498290</v>
      </c>
      <c r="M8" s="22"/>
    </row>
    <row r="9" spans="1:13" ht="30" x14ac:dyDescent="0.25">
      <c r="A9" s="4" t="s">
        <v>50</v>
      </c>
      <c r="B9" s="8" t="s">
        <v>22</v>
      </c>
      <c r="C9" s="11" t="s">
        <v>51</v>
      </c>
      <c r="D9" s="4" t="s">
        <v>51</v>
      </c>
      <c r="E9" s="7" t="s">
        <v>52</v>
      </c>
      <c r="F9" s="7" t="s">
        <v>53</v>
      </c>
      <c r="G9" s="7"/>
      <c r="H9" s="7" t="s">
        <v>889</v>
      </c>
      <c r="I9" s="7">
        <v>103772687</v>
      </c>
      <c r="J9" s="7" t="s">
        <v>54</v>
      </c>
      <c r="K9" s="7" t="s">
        <v>55</v>
      </c>
      <c r="L9" s="7">
        <v>103772687</v>
      </c>
      <c r="M9" s="22"/>
    </row>
    <row r="10" spans="1:13" ht="30" x14ac:dyDescent="0.25">
      <c r="A10" s="7" t="s">
        <v>56</v>
      </c>
      <c r="B10" s="8" t="s">
        <v>22</v>
      </c>
      <c r="C10" s="9" t="s">
        <v>57</v>
      </c>
      <c r="D10" s="7" t="s">
        <v>57</v>
      </c>
      <c r="E10" s="7" t="s">
        <v>58</v>
      </c>
      <c r="F10" s="7" t="s">
        <v>59</v>
      </c>
      <c r="G10" s="39"/>
      <c r="H10" s="70" t="s">
        <v>890</v>
      </c>
      <c r="I10" s="50">
        <v>103771865</v>
      </c>
      <c r="J10" s="7" t="s">
        <v>60</v>
      </c>
      <c r="K10" s="7" t="s">
        <v>55</v>
      </c>
      <c r="L10" s="7">
        <v>103442240</v>
      </c>
      <c r="M10" s="22"/>
    </row>
    <row r="11" spans="1:13" ht="165" x14ac:dyDescent="0.25">
      <c r="A11" s="12" t="s">
        <v>61</v>
      </c>
      <c r="B11" s="8" t="s">
        <v>22</v>
      </c>
      <c r="C11" s="13" t="s">
        <v>62</v>
      </c>
      <c r="D11" s="14" t="s">
        <v>62</v>
      </c>
      <c r="E11" s="14" t="s">
        <v>63</v>
      </c>
      <c r="F11" s="7" t="s">
        <v>64</v>
      </c>
      <c r="G11" s="7"/>
      <c r="H11" s="70" t="s">
        <v>891</v>
      </c>
      <c r="I11" s="12" t="s">
        <v>65</v>
      </c>
      <c r="J11" s="7" t="s">
        <v>66</v>
      </c>
      <c r="K11" s="7" t="s">
        <v>67</v>
      </c>
      <c r="L11" s="7">
        <v>103339769</v>
      </c>
      <c r="M11" s="22"/>
    </row>
    <row r="12" spans="1:13" ht="150" x14ac:dyDescent="0.25">
      <c r="A12" s="15" t="s">
        <v>68</v>
      </c>
      <c r="B12" s="5" t="s">
        <v>16</v>
      </c>
      <c r="C12" s="11" t="s">
        <v>69</v>
      </c>
      <c r="D12" s="11" t="s">
        <v>69</v>
      </c>
      <c r="E12" s="14" t="s">
        <v>70</v>
      </c>
      <c r="F12" s="16" t="s">
        <v>71</v>
      </c>
      <c r="G12" s="64" t="s">
        <v>842</v>
      </c>
      <c r="H12" s="10"/>
      <c r="I12" s="39">
        <v>103770996</v>
      </c>
      <c r="J12" s="7" t="s">
        <v>72</v>
      </c>
      <c r="K12" s="7" t="s">
        <v>73</v>
      </c>
      <c r="L12" s="7">
        <v>103339769</v>
      </c>
      <c r="M12" s="22"/>
    </row>
    <row r="13" spans="1:13" ht="30" x14ac:dyDescent="0.25">
      <c r="A13" s="4" t="s">
        <v>74</v>
      </c>
      <c r="B13" s="8" t="s">
        <v>22</v>
      </c>
      <c r="C13" s="11" t="s">
        <v>75</v>
      </c>
      <c r="D13" s="11" t="s">
        <v>75</v>
      </c>
      <c r="E13" s="4" t="s">
        <v>76</v>
      </c>
      <c r="F13" s="7" t="s">
        <v>77</v>
      </c>
      <c r="G13" s="39"/>
      <c r="H13" s="70" t="s">
        <v>892</v>
      </c>
      <c r="I13" s="50">
        <v>103808515</v>
      </c>
      <c r="J13" s="7" t="s">
        <v>78</v>
      </c>
      <c r="K13" s="7" t="s">
        <v>79</v>
      </c>
      <c r="L13" s="7">
        <v>103474814</v>
      </c>
      <c r="M13" s="22"/>
    </row>
    <row r="14" spans="1:13" ht="30" x14ac:dyDescent="0.25">
      <c r="A14" s="7" t="s">
        <v>80</v>
      </c>
      <c r="B14" s="8" t="s">
        <v>22</v>
      </c>
      <c r="C14" s="9" t="s">
        <v>81</v>
      </c>
      <c r="D14" s="7" t="s">
        <v>81</v>
      </c>
      <c r="E14" s="7" t="s">
        <v>82</v>
      </c>
      <c r="F14" s="7" t="s">
        <v>83</v>
      </c>
      <c r="G14" s="7"/>
      <c r="H14" s="70" t="s">
        <v>893</v>
      </c>
      <c r="I14" s="12">
        <v>103779145</v>
      </c>
      <c r="J14" s="7" t="s">
        <v>84</v>
      </c>
      <c r="K14" s="7" t="s">
        <v>85</v>
      </c>
      <c r="L14" s="7" t="s">
        <v>86</v>
      </c>
      <c r="M14" s="22"/>
    </row>
    <row r="15" spans="1:13" ht="30" x14ac:dyDescent="0.25">
      <c r="A15" s="7" t="s">
        <v>87</v>
      </c>
      <c r="B15" s="8" t="s">
        <v>22</v>
      </c>
      <c r="C15" s="11" t="s">
        <v>88</v>
      </c>
      <c r="D15" s="4" t="s">
        <v>88</v>
      </c>
      <c r="E15" s="7" t="s">
        <v>89</v>
      </c>
      <c r="F15" s="7" t="s">
        <v>90</v>
      </c>
      <c r="G15" s="7"/>
      <c r="H15" s="70" t="s">
        <v>894</v>
      </c>
      <c r="I15" s="51">
        <v>103883242</v>
      </c>
      <c r="J15" s="7" t="s">
        <v>91</v>
      </c>
      <c r="K15" s="7" t="s">
        <v>92</v>
      </c>
      <c r="L15" s="7">
        <v>103371263</v>
      </c>
      <c r="M15" s="22"/>
    </row>
    <row r="16" spans="1:13" ht="90" x14ac:dyDescent="0.25">
      <c r="A16" s="7" t="s">
        <v>93</v>
      </c>
      <c r="B16" s="8" t="s">
        <v>22</v>
      </c>
      <c r="C16" s="9" t="s">
        <v>94</v>
      </c>
      <c r="D16" s="7" t="s">
        <v>94</v>
      </c>
      <c r="E16" s="7" t="s">
        <v>95</v>
      </c>
      <c r="F16" s="7" t="s">
        <v>96</v>
      </c>
      <c r="G16" s="7"/>
      <c r="H16" s="70" t="s">
        <v>895</v>
      </c>
      <c r="I16" s="12">
        <v>103857158</v>
      </c>
      <c r="J16" s="7" t="s">
        <v>97</v>
      </c>
      <c r="K16" s="7" t="s">
        <v>98</v>
      </c>
      <c r="L16" s="7">
        <v>103448141</v>
      </c>
      <c r="M16" s="22"/>
    </row>
    <row r="17" spans="1:13" ht="30" x14ac:dyDescent="0.25">
      <c r="A17" s="7" t="s">
        <v>99</v>
      </c>
      <c r="B17" s="8" t="s">
        <v>22</v>
      </c>
      <c r="C17" s="9" t="s">
        <v>100</v>
      </c>
      <c r="D17" s="7">
        <v>103812746</v>
      </c>
      <c r="E17" s="7">
        <v>103812745</v>
      </c>
      <c r="F17" s="53" t="s">
        <v>101</v>
      </c>
      <c r="G17" s="53"/>
      <c r="H17" s="70" t="s">
        <v>896</v>
      </c>
      <c r="I17" s="7">
        <v>103779607</v>
      </c>
      <c r="J17" s="24" t="s">
        <v>102</v>
      </c>
      <c r="K17" s="24" t="s">
        <v>103</v>
      </c>
      <c r="L17" s="24">
        <v>103868400</v>
      </c>
      <c r="M17" s="22"/>
    </row>
    <row r="18" spans="1:13" ht="30" x14ac:dyDescent="0.25">
      <c r="A18" s="7" t="s">
        <v>104</v>
      </c>
      <c r="B18" s="8" t="s">
        <v>22</v>
      </c>
      <c r="C18" s="9" t="s">
        <v>105</v>
      </c>
      <c r="D18" s="7">
        <v>103901697</v>
      </c>
      <c r="E18" s="7">
        <v>103923923</v>
      </c>
      <c r="F18" s="7" t="s">
        <v>106</v>
      </c>
      <c r="G18" s="7"/>
      <c r="H18" s="70" t="s">
        <v>897</v>
      </c>
      <c r="I18" s="7">
        <v>501008331</v>
      </c>
      <c r="J18" s="7" t="s">
        <v>107</v>
      </c>
      <c r="K18" s="7" t="s">
        <v>108</v>
      </c>
      <c r="L18" s="44">
        <v>103375848</v>
      </c>
      <c r="M18" s="22"/>
    </row>
    <row r="19" spans="1:13" ht="30" x14ac:dyDescent="0.25">
      <c r="A19" s="7" t="s">
        <v>109</v>
      </c>
      <c r="B19" s="8" t="s">
        <v>10</v>
      </c>
      <c r="C19" s="9" t="s">
        <v>110</v>
      </c>
      <c r="D19" s="7">
        <v>500982443</v>
      </c>
      <c r="E19" s="7">
        <v>501048668</v>
      </c>
      <c r="F19" s="7" t="s">
        <v>111</v>
      </c>
      <c r="G19" s="7"/>
      <c r="H19" s="70" t="s">
        <v>898</v>
      </c>
      <c r="I19" s="7">
        <v>501010981</v>
      </c>
      <c r="J19" s="7" t="s">
        <v>112</v>
      </c>
      <c r="K19" s="7" t="s">
        <v>113</v>
      </c>
      <c r="L19" s="7">
        <v>103556356</v>
      </c>
      <c r="M19" s="22"/>
    </row>
    <row r="20" spans="1:13" ht="45" x14ac:dyDescent="0.25">
      <c r="A20" s="7" t="s">
        <v>114</v>
      </c>
      <c r="B20" s="8" t="s">
        <v>22</v>
      </c>
      <c r="C20" s="9" t="s">
        <v>115</v>
      </c>
      <c r="D20" s="7">
        <v>500987363</v>
      </c>
      <c r="E20" s="7">
        <v>501001763</v>
      </c>
      <c r="F20" s="7" t="s">
        <v>116</v>
      </c>
      <c r="G20" s="7"/>
      <c r="H20" s="70" t="s">
        <v>899</v>
      </c>
      <c r="I20" s="7">
        <v>500977359</v>
      </c>
      <c r="J20" s="7" t="s">
        <v>117</v>
      </c>
      <c r="K20" s="7" t="s">
        <v>118</v>
      </c>
      <c r="L20" s="7">
        <v>103453493</v>
      </c>
      <c r="M20" s="22"/>
    </row>
    <row r="21" spans="1:13" ht="30" x14ac:dyDescent="0.25">
      <c r="A21" s="12" t="s">
        <v>119</v>
      </c>
      <c r="B21" s="8" t="s">
        <v>10</v>
      </c>
      <c r="C21" s="13" t="s">
        <v>120</v>
      </c>
      <c r="D21" s="12">
        <v>501116501</v>
      </c>
      <c r="E21" s="12">
        <v>501170871</v>
      </c>
      <c r="F21" s="52" t="s">
        <v>121</v>
      </c>
      <c r="G21" s="7"/>
      <c r="H21" s="70" t="s">
        <v>898</v>
      </c>
      <c r="I21" s="7">
        <v>501010943</v>
      </c>
      <c r="J21" s="7" t="s">
        <v>122</v>
      </c>
      <c r="K21" s="7" t="s">
        <v>103</v>
      </c>
      <c r="L21" s="7">
        <v>103346154</v>
      </c>
      <c r="M21" s="22"/>
    </row>
    <row r="22" spans="1:13" ht="30" x14ac:dyDescent="0.25">
      <c r="A22" s="12" t="s">
        <v>123</v>
      </c>
      <c r="B22" s="8" t="s">
        <v>10</v>
      </c>
      <c r="C22" s="13" t="s">
        <v>124</v>
      </c>
      <c r="D22" s="12">
        <v>501144214</v>
      </c>
      <c r="E22" s="12">
        <v>501144215</v>
      </c>
      <c r="F22" s="39" t="s">
        <v>125</v>
      </c>
      <c r="G22" s="39"/>
      <c r="H22" s="70" t="s">
        <v>900</v>
      </c>
      <c r="I22" s="7">
        <v>501010974</v>
      </c>
      <c r="J22" s="7" t="s">
        <v>126</v>
      </c>
      <c r="K22" s="7" t="s">
        <v>127</v>
      </c>
      <c r="L22" s="45">
        <v>103556362</v>
      </c>
      <c r="M22" s="22"/>
    </row>
    <row r="23" spans="1:13" ht="30" x14ac:dyDescent="0.25">
      <c r="A23" s="7" t="s">
        <v>128</v>
      </c>
      <c r="B23" s="8" t="s">
        <v>22</v>
      </c>
      <c r="C23" s="9" t="s">
        <v>129</v>
      </c>
      <c r="D23" s="7">
        <v>501144263</v>
      </c>
      <c r="E23" s="7">
        <v>501144270</v>
      </c>
      <c r="F23" s="39" t="s">
        <v>130</v>
      </c>
      <c r="G23" s="39"/>
      <c r="H23" s="70" t="s">
        <v>901</v>
      </c>
      <c r="I23" s="7">
        <v>501010910</v>
      </c>
      <c r="J23" s="21" t="s">
        <v>131</v>
      </c>
      <c r="K23" s="7" t="s">
        <v>103</v>
      </c>
      <c r="L23" s="21">
        <v>103453685</v>
      </c>
      <c r="M23" s="22"/>
    </row>
    <row r="24" spans="1:13" ht="30" x14ac:dyDescent="0.25">
      <c r="A24" s="7" t="s">
        <v>132</v>
      </c>
      <c r="B24" s="8" t="s">
        <v>10</v>
      </c>
      <c r="C24" s="9" t="s">
        <v>133</v>
      </c>
      <c r="D24" s="7">
        <v>501188817</v>
      </c>
      <c r="E24" s="7">
        <v>501252126</v>
      </c>
      <c r="F24" s="39" t="s">
        <v>134</v>
      </c>
      <c r="G24" s="7"/>
      <c r="H24" s="70" t="s">
        <v>902</v>
      </c>
      <c r="I24" s="52">
        <v>501148070</v>
      </c>
      <c r="J24" s="7" t="s">
        <v>135</v>
      </c>
      <c r="K24" s="7" t="s">
        <v>136</v>
      </c>
      <c r="L24" s="7">
        <v>501086398</v>
      </c>
      <c r="M24" s="22"/>
    </row>
    <row r="25" spans="1:13" ht="30" x14ac:dyDescent="0.25">
      <c r="A25" s="17" t="s">
        <v>137</v>
      </c>
      <c r="B25" s="8" t="s">
        <v>10</v>
      </c>
      <c r="C25" s="9" t="s">
        <v>138</v>
      </c>
      <c r="D25" s="7">
        <v>501197371</v>
      </c>
      <c r="E25" s="7">
        <v>501193178</v>
      </c>
      <c r="F25" s="39" t="s">
        <v>139</v>
      </c>
      <c r="G25" s="39"/>
      <c r="H25" s="70" t="s">
        <v>898</v>
      </c>
      <c r="I25" s="7">
        <v>501010971</v>
      </c>
      <c r="J25" s="7" t="s">
        <v>140</v>
      </c>
      <c r="K25" s="7" t="s">
        <v>113</v>
      </c>
      <c r="L25" s="7">
        <v>501122891</v>
      </c>
      <c r="M25" s="22"/>
    </row>
    <row r="26" spans="1:13" ht="45" x14ac:dyDescent="0.25">
      <c r="A26" s="7" t="s">
        <v>141</v>
      </c>
      <c r="B26" s="8" t="s">
        <v>10</v>
      </c>
      <c r="C26" s="9" t="s">
        <v>142</v>
      </c>
      <c r="D26" s="59">
        <v>501199222</v>
      </c>
      <c r="E26" s="7">
        <v>501209482</v>
      </c>
      <c r="F26" s="7" t="s">
        <v>143</v>
      </c>
      <c r="G26" s="7"/>
      <c r="H26" s="70" t="s">
        <v>903</v>
      </c>
      <c r="I26" s="39">
        <v>501093877</v>
      </c>
      <c r="J26" s="7" t="s">
        <v>144</v>
      </c>
      <c r="K26" s="7" t="s">
        <v>145</v>
      </c>
      <c r="L26" s="7">
        <v>103736859</v>
      </c>
      <c r="M26" s="22"/>
    </row>
    <row r="27" spans="1:13" ht="45" x14ac:dyDescent="0.25">
      <c r="A27" s="7" t="s">
        <v>146</v>
      </c>
      <c r="B27" s="8" t="s">
        <v>22</v>
      </c>
      <c r="C27" s="19" t="s">
        <v>147</v>
      </c>
      <c r="D27" s="58">
        <v>501233470</v>
      </c>
      <c r="E27" s="7">
        <v>501312094</v>
      </c>
      <c r="F27" s="20" t="s">
        <v>148</v>
      </c>
      <c r="G27" s="20"/>
      <c r="H27" s="70" t="s">
        <v>904</v>
      </c>
      <c r="I27" s="39">
        <v>501089637</v>
      </c>
      <c r="J27" s="7" t="s">
        <v>149</v>
      </c>
      <c r="K27" s="7" t="s">
        <v>150</v>
      </c>
      <c r="L27" s="7">
        <v>103428968</v>
      </c>
      <c r="M27" s="22"/>
    </row>
    <row r="28" spans="1:13" ht="30" x14ac:dyDescent="0.25">
      <c r="A28" s="7" t="s">
        <v>151</v>
      </c>
      <c r="B28" s="5" t="s">
        <v>16</v>
      </c>
      <c r="C28" s="9" t="s">
        <v>152</v>
      </c>
      <c r="D28" s="9">
        <v>501236037</v>
      </c>
      <c r="E28" s="7">
        <v>501236040</v>
      </c>
      <c r="F28" s="21" t="s">
        <v>153</v>
      </c>
      <c r="G28" s="21"/>
      <c r="H28" s="71"/>
      <c r="I28" s="39">
        <v>501205160</v>
      </c>
      <c r="J28" s="7" t="s">
        <v>154</v>
      </c>
      <c r="K28" s="7" t="s">
        <v>155</v>
      </c>
      <c r="L28" s="7">
        <v>103568411</v>
      </c>
      <c r="M28" s="22"/>
    </row>
    <row r="29" spans="1:13" ht="30" x14ac:dyDescent="0.25">
      <c r="A29" s="7" t="s">
        <v>156</v>
      </c>
      <c r="B29" s="8" t="s">
        <v>22</v>
      </c>
      <c r="C29" s="9" t="s">
        <v>157</v>
      </c>
      <c r="D29" s="9">
        <v>501399179</v>
      </c>
      <c r="E29" s="7">
        <v>501410907</v>
      </c>
      <c r="F29" s="7" t="s">
        <v>158</v>
      </c>
      <c r="G29" s="7"/>
      <c r="H29" s="70" t="s">
        <v>905</v>
      </c>
      <c r="I29" s="39">
        <v>103829036</v>
      </c>
      <c r="J29" s="7" t="s">
        <v>159</v>
      </c>
      <c r="K29" s="7" t="s">
        <v>160</v>
      </c>
      <c r="L29" s="7">
        <v>103439054</v>
      </c>
      <c r="M29" s="22"/>
    </row>
    <row r="30" spans="1:13" ht="75" x14ac:dyDescent="0.25">
      <c r="A30" s="7" t="s">
        <v>161</v>
      </c>
      <c r="B30" s="8" t="s">
        <v>22</v>
      </c>
      <c r="C30" s="11" t="s">
        <v>162</v>
      </c>
      <c r="D30" s="58">
        <v>501408179</v>
      </c>
      <c r="E30" s="7">
        <v>501434501</v>
      </c>
      <c r="F30" s="12" t="s">
        <v>163</v>
      </c>
      <c r="G30" s="12"/>
      <c r="H30" s="70" t="s">
        <v>906</v>
      </c>
      <c r="I30" s="39" t="s">
        <v>164</v>
      </c>
      <c r="J30" s="7" t="s">
        <v>165</v>
      </c>
      <c r="K30" s="7" t="s">
        <v>166</v>
      </c>
      <c r="L30" s="7">
        <v>103342050</v>
      </c>
      <c r="M30" s="25"/>
    </row>
    <row r="31" spans="1:13" ht="45" x14ac:dyDescent="0.25">
      <c r="A31" s="7" t="s">
        <v>167</v>
      </c>
      <c r="B31" s="8" t="s">
        <v>10</v>
      </c>
      <c r="C31" s="9" t="s">
        <v>168</v>
      </c>
      <c r="D31" s="7">
        <v>501432511</v>
      </c>
      <c r="E31" s="54">
        <v>501433220</v>
      </c>
      <c r="F31" s="7" t="s">
        <v>169</v>
      </c>
      <c r="G31" s="7"/>
      <c r="H31" s="70" t="s">
        <v>907</v>
      </c>
      <c r="I31" s="39">
        <v>103829037</v>
      </c>
      <c r="J31" s="7" t="s">
        <v>170</v>
      </c>
      <c r="K31" s="7" t="s">
        <v>171</v>
      </c>
      <c r="L31" s="7">
        <v>103736859</v>
      </c>
      <c r="M31" s="22"/>
    </row>
    <row r="32" spans="1:13" ht="30" x14ac:dyDescent="0.25">
      <c r="A32" s="7" t="s">
        <v>172</v>
      </c>
      <c r="B32" s="8" t="s">
        <v>10</v>
      </c>
      <c r="C32" s="9" t="s">
        <v>173</v>
      </c>
      <c r="D32" s="7">
        <v>501470676</v>
      </c>
      <c r="E32" s="7">
        <v>501473401</v>
      </c>
      <c r="F32" s="7" t="s">
        <v>174</v>
      </c>
      <c r="G32" s="7"/>
      <c r="H32" s="70" t="s">
        <v>908</v>
      </c>
      <c r="I32" s="52">
        <v>501010961</v>
      </c>
      <c r="J32" s="7" t="s">
        <v>175</v>
      </c>
      <c r="K32" s="7" t="s">
        <v>176</v>
      </c>
      <c r="L32" s="7">
        <v>103796699</v>
      </c>
      <c r="M32" s="22"/>
    </row>
    <row r="33" spans="1:13" ht="30" x14ac:dyDescent="0.25">
      <c r="A33" s="7" t="s">
        <v>177</v>
      </c>
      <c r="B33" s="8" t="s">
        <v>22</v>
      </c>
      <c r="C33" s="9" t="s">
        <v>178</v>
      </c>
      <c r="D33" s="7">
        <v>501867530</v>
      </c>
      <c r="E33" s="7">
        <v>501976100</v>
      </c>
      <c r="F33" s="7" t="s">
        <v>179</v>
      </c>
      <c r="G33" s="7"/>
      <c r="H33" s="70" t="s">
        <v>909</v>
      </c>
      <c r="I33" s="7">
        <v>501010966</v>
      </c>
      <c r="J33" s="7" t="s">
        <v>180</v>
      </c>
      <c r="K33" s="7" t="s">
        <v>181</v>
      </c>
      <c r="L33" s="7">
        <v>103439060</v>
      </c>
      <c r="M33" s="22"/>
    </row>
    <row r="34" spans="1:13" ht="45" x14ac:dyDescent="0.25">
      <c r="A34" s="7" t="s">
        <v>182</v>
      </c>
      <c r="B34" s="8" t="s">
        <v>22</v>
      </c>
      <c r="C34" s="9" t="s">
        <v>183</v>
      </c>
      <c r="D34" s="7">
        <v>501992386</v>
      </c>
      <c r="E34" s="7">
        <v>501999723</v>
      </c>
      <c r="F34" s="7" t="s">
        <v>184</v>
      </c>
      <c r="G34" s="7"/>
      <c r="H34" s="70" t="s">
        <v>910</v>
      </c>
      <c r="I34" s="7">
        <v>103907565</v>
      </c>
      <c r="J34" s="7" t="s">
        <v>185</v>
      </c>
      <c r="K34" s="7" t="s">
        <v>155</v>
      </c>
      <c r="L34" s="7">
        <v>103565200</v>
      </c>
      <c r="M34" s="22"/>
    </row>
    <row r="35" spans="1:13" ht="180" x14ac:dyDescent="0.25">
      <c r="A35" s="7" t="s">
        <v>186</v>
      </c>
      <c r="B35" s="8" t="s">
        <v>10</v>
      </c>
      <c r="C35" s="7" t="s">
        <v>187</v>
      </c>
      <c r="D35" s="7" t="s">
        <v>187</v>
      </c>
      <c r="E35" s="7" t="s">
        <v>188</v>
      </c>
      <c r="F35" s="7" t="s">
        <v>189</v>
      </c>
      <c r="G35" s="7" t="s">
        <v>190</v>
      </c>
      <c r="H35" s="70" t="s">
        <v>911</v>
      </c>
      <c r="I35" s="7" t="s">
        <v>191</v>
      </c>
      <c r="J35" s="7" t="s">
        <v>192</v>
      </c>
      <c r="K35" s="7">
        <v>103861179</v>
      </c>
      <c r="L35" s="7">
        <v>103348840</v>
      </c>
      <c r="M35" s="22"/>
    </row>
    <row r="36" spans="1:13" ht="165" x14ac:dyDescent="0.25">
      <c r="A36" s="7" t="s">
        <v>193</v>
      </c>
      <c r="B36" s="8" t="s">
        <v>22</v>
      </c>
      <c r="C36" s="7" t="s">
        <v>194</v>
      </c>
      <c r="D36" s="7" t="s">
        <v>194</v>
      </c>
      <c r="E36" s="7" t="s">
        <v>195</v>
      </c>
      <c r="F36" s="7" t="s">
        <v>196</v>
      </c>
      <c r="G36" s="7" t="s">
        <v>197</v>
      </c>
      <c r="H36" s="70" t="s">
        <v>912</v>
      </c>
      <c r="I36" s="7">
        <v>501086540</v>
      </c>
      <c r="J36" s="7" t="s">
        <v>198</v>
      </c>
      <c r="K36" s="7" t="s">
        <v>199</v>
      </c>
      <c r="L36" s="7">
        <v>103468767</v>
      </c>
      <c r="M36" s="22"/>
    </row>
    <row r="37" spans="1:13" ht="409.5" x14ac:dyDescent="0.25">
      <c r="A37" s="4" t="s">
        <v>200</v>
      </c>
      <c r="B37" s="5" t="s">
        <v>16</v>
      </c>
      <c r="C37" s="4" t="s">
        <v>201</v>
      </c>
      <c r="D37" s="4" t="s">
        <v>201</v>
      </c>
      <c r="E37" s="7" t="s">
        <v>202</v>
      </c>
      <c r="F37" s="7" t="s">
        <v>203</v>
      </c>
      <c r="G37" s="7" t="s">
        <v>204</v>
      </c>
      <c r="H37" s="7"/>
      <c r="I37" s="7">
        <v>501291920</v>
      </c>
      <c r="J37" s="7" t="s">
        <v>205</v>
      </c>
      <c r="K37" s="7" t="s">
        <v>73</v>
      </c>
      <c r="L37" s="7" t="s">
        <v>206</v>
      </c>
      <c r="M37" s="8" t="s">
        <v>207</v>
      </c>
    </row>
    <row r="38" spans="1:13" ht="409.5" x14ac:dyDescent="0.25">
      <c r="A38" s="12" t="s">
        <v>208</v>
      </c>
      <c r="B38" s="8" t="s">
        <v>10</v>
      </c>
      <c r="C38" s="12" t="s">
        <v>209</v>
      </c>
      <c r="D38" s="12" t="s">
        <v>209</v>
      </c>
      <c r="E38" s="7" t="s">
        <v>210</v>
      </c>
      <c r="F38" s="7" t="s">
        <v>211</v>
      </c>
      <c r="G38" s="7" t="s">
        <v>212</v>
      </c>
      <c r="H38" s="70" t="s">
        <v>913</v>
      </c>
      <c r="I38" s="10">
        <v>501018217</v>
      </c>
      <c r="J38" s="7" t="s">
        <v>213</v>
      </c>
      <c r="K38" s="7" t="s">
        <v>214</v>
      </c>
      <c r="L38" s="7" t="s">
        <v>215</v>
      </c>
      <c r="M38" s="22"/>
    </row>
    <row r="39" spans="1:13" ht="30" x14ac:dyDescent="0.25">
      <c r="A39" s="10" t="s">
        <v>216</v>
      </c>
      <c r="B39" s="5" t="s">
        <v>16</v>
      </c>
      <c r="C39" s="10" t="s">
        <v>217</v>
      </c>
      <c r="D39" s="10" t="s">
        <v>217</v>
      </c>
      <c r="E39" s="10">
        <v>501090727</v>
      </c>
      <c r="F39" s="7" t="s">
        <v>218</v>
      </c>
      <c r="G39" s="7" t="s">
        <v>219</v>
      </c>
      <c r="H39" s="7"/>
      <c r="I39" s="7" t="s">
        <v>220</v>
      </c>
      <c r="J39" s="7" t="s">
        <v>221</v>
      </c>
      <c r="K39" s="7" t="s">
        <v>222</v>
      </c>
      <c r="L39" s="7">
        <v>103577351</v>
      </c>
      <c r="M39" s="22"/>
    </row>
    <row r="40" spans="1:13" ht="153.75" x14ac:dyDescent="0.25">
      <c r="A40" s="26" t="s">
        <v>223</v>
      </c>
      <c r="B40" s="8" t="s">
        <v>22</v>
      </c>
      <c r="C40" s="26" t="s">
        <v>224</v>
      </c>
      <c r="D40" s="26" t="s">
        <v>224</v>
      </c>
      <c r="E40" s="26" t="s">
        <v>225</v>
      </c>
      <c r="F40" s="53" t="s">
        <v>226</v>
      </c>
      <c r="G40" s="24" t="s">
        <v>227</v>
      </c>
      <c r="H40" s="70" t="s">
        <v>914</v>
      </c>
      <c r="I40" s="7">
        <v>103778577</v>
      </c>
      <c r="J40" s="7">
        <v>501144567</v>
      </c>
      <c r="K40" s="7" t="s">
        <v>73</v>
      </c>
      <c r="L40" s="7">
        <v>103565200</v>
      </c>
      <c r="M40" s="22"/>
    </row>
    <row r="41" spans="1:13" ht="51" x14ac:dyDescent="0.25">
      <c r="A41" s="7" t="s">
        <v>228</v>
      </c>
      <c r="B41" s="8" t="s">
        <v>22</v>
      </c>
      <c r="C41" s="7" t="s">
        <v>229</v>
      </c>
      <c r="D41" s="7" t="s">
        <v>229</v>
      </c>
      <c r="E41" s="7">
        <v>501067121</v>
      </c>
      <c r="F41" s="53" t="s">
        <v>230</v>
      </c>
      <c r="G41" s="53" t="s">
        <v>231</v>
      </c>
      <c r="H41" s="70" t="s">
        <v>915</v>
      </c>
      <c r="I41" s="7" t="s">
        <v>232</v>
      </c>
      <c r="J41" s="7" t="s">
        <v>233</v>
      </c>
      <c r="K41" s="7" t="s">
        <v>234</v>
      </c>
      <c r="L41" s="7">
        <v>103397729</v>
      </c>
      <c r="M41" s="22"/>
    </row>
    <row r="42" spans="1:13" ht="60" x14ac:dyDescent="0.25">
      <c r="A42" s="7" t="s">
        <v>235</v>
      </c>
      <c r="B42" s="8" t="s">
        <v>22</v>
      </c>
      <c r="C42" s="4" t="s">
        <v>236</v>
      </c>
      <c r="D42" s="4" t="s">
        <v>236</v>
      </c>
      <c r="E42" s="57" t="s">
        <v>237</v>
      </c>
      <c r="F42" s="55" t="s">
        <v>238</v>
      </c>
      <c r="G42" s="55" t="s">
        <v>239</v>
      </c>
      <c r="H42" s="70" t="s">
        <v>916</v>
      </c>
      <c r="I42" s="7">
        <v>103907564</v>
      </c>
      <c r="J42" s="28" t="s">
        <v>240</v>
      </c>
      <c r="K42" s="28" t="s">
        <v>155</v>
      </c>
      <c r="L42" s="28">
        <v>103438329</v>
      </c>
      <c r="M42" s="22"/>
    </row>
    <row r="43" spans="1:13" ht="45" x14ac:dyDescent="0.25">
      <c r="A43" s="7" t="s">
        <v>241</v>
      </c>
      <c r="B43" s="8" t="s">
        <v>10</v>
      </c>
      <c r="C43" s="7" t="s">
        <v>242</v>
      </c>
      <c r="D43" s="7" t="s">
        <v>242</v>
      </c>
      <c r="E43" s="7" t="s">
        <v>243</v>
      </c>
      <c r="F43" s="7" t="s">
        <v>244</v>
      </c>
      <c r="G43" s="7" t="s">
        <v>245</v>
      </c>
      <c r="H43" s="70" t="s">
        <v>917</v>
      </c>
      <c r="I43" s="7">
        <v>103757515</v>
      </c>
      <c r="J43" s="7" t="s">
        <v>246</v>
      </c>
      <c r="K43" s="7">
        <v>501119577</v>
      </c>
      <c r="L43" s="7">
        <v>103392133</v>
      </c>
      <c r="M43" s="22"/>
    </row>
    <row r="44" spans="1:13" ht="135" x14ac:dyDescent="0.25">
      <c r="A44" s="4" t="s">
        <v>247</v>
      </c>
      <c r="B44" s="8" t="s">
        <v>22</v>
      </c>
      <c r="C44" s="4" t="s">
        <v>248</v>
      </c>
      <c r="D44" s="4" t="s">
        <v>248</v>
      </c>
      <c r="E44" s="4" t="s">
        <v>249</v>
      </c>
      <c r="F44" s="7" t="s">
        <v>250</v>
      </c>
      <c r="G44" s="7"/>
      <c r="H44" s="70" t="s">
        <v>918</v>
      </c>
      <c r="I44" s="7">
        <v>103849640</v>
      </c>
      <c r="J44" s="7" t="s">
        <v>251</v>
      </c>
      <c r="K44" s="7" t="s">
        <v>252</v>
      </c>
      <c r="L44" s="7">
        <v>103328947</v>
      </c>
      <c r="M44" s="22"/>
    </row>
    <row r="45" spans="1:13" ht="30" x14ac:dyDescent="0.25">
      <c r="A45" s="7" t="s">
        <v>253</v>
      </c>
      <c r="B45" s="8" t="s">
        <v>22</v>
      </c>
      <c r="C45" s="12" t="s">
        <v>254</v>
      </c>
      <c r="D45" s="7" t="s">
        <v>254</v>
      </c>
      <c r="E45" s="4" t="s">
        <v>255</v>
      </c>
      <c r="F45" s="7" t="s">
        <v>256</v>
      </c>
      <c r="G45" s="7"/>
      <c r="H45" s="70" t="s">
        <v>919</v>
      </c>
      <c r="I45" s="7">
        <v>103850809</v>
      </c>
      <c r="J45" s="7" t="s">
        <v>257</v>
      </c>
      <c r="K45" s="7" t="s">
        <v>258</v>
      </c>
      <c r="L45" s="7">
        <v>103340792</v>
      </c>
      <c r="M45" s="22"/>
    </row>
    <row r="46" spans="1:13" ht="105" x14ac:dyDescent="0.25">
      <c r="A46" s="7" t="s">
        <v>259</v>
      </c>
      <c r="B46" s="8" t="s">
        <v>22</v>
      </c>
      <c r="C46" s="27" t="s">
        <v>260</v>
      </c>
      <c r="D46" s="27" t="s">
        <v>260</v>
      </c>
      <c r="E46" s="4" t="s">
        <v>261</v>
      </c>
      <c r="F46" s="7" t="s">
        <v>262</v>
      </c>
      <c r="G46" s="7"/>
      <c r="H46" s="70" t="s">
        <v>920</v>
      </c>
      <c r="I46" s="7">
        <v>501162762</v>
      </c>
      <c r="J46" s="10" t="s">
        <v>263</v>
      </c>
      <c r="K46" s="10" t="s">
        <v>264</v>
      </c>
      <c r="L46" s="10">
        <v>103345206</v>
      </c>
      <c r="M46" s="22"/>
    </row>
    <row r="47" spans="1:13" ht="45" x14ac:dyDescent="0.25">
      <c r="A47" s="4" t="s">
        <v>265</v>
      </c>
      <c r="B47" s="8" t="s">
        <v>22</v>
      </c>
      <c r="C47" s="4" t="s">
        <v>266</v>
      </c>
      <c r="D47" s="4" t="s">
        <v>266</v>
      </c>
      <c r="E47" s="4" t="s">
        <v>267</v>
      </c>
      <c r="F47" s="10" t="s">
        <v>268</v>
      </c>
      <c r="G47" s="10"/>
      <c r="H47" s="70" t="s">
        <v>921</v>
      </c>
      <c r="I47" s="7">
        <v>103898234</v>
      </c>
      <c r="J47" s="10" t="s">
        <v>269</v>
      </c>
      <c r="K47" s="10" t="s">
        <v>270</v>
      </c>
      <c r="L47" s="10">
        <v>103497505</v>
      </c>
      <c r="M47" s="22"/>
    </row>
    <row r="48" spans="1:13" ht="90" x14ac:dyDescent="0.25">
      <c r="A48" s="7" t="s">
        <v>271</v>
      </c>
      <c r="B48" s="8" t="s">
        <v>22</v>
      </c>
      <c r="C48" s="4" t="s">
        <v>272</v>
      </c>
      <c r="D48" s="4" t="s">
        <v>272</v>
      </c>
      <c r="E48" s="4" t="s">
        <v>273</v>
      </c>
      <c r="F48" s="7" t="s">
        <v>274</v>
      </c>
      <c r="G48" s="7"/>
      <c r="H48" s="70" t="s">
        <v>922</v>
      </c>
      <c r="I48" s="10">
        <v>103783975</v>
      </c>
      <c r="J48" s="7" t="s">
        <v>275</v>
      </c>
      <c r="K48" s="7" t="s">
        <v>276</v>
      </c>
      <c r="L48" s="7">
        <v>103498952</v>
      </c>
      <c r="M48" s="22"/>
    </row>
    <row r="49" spans="1:13" ht="30" x14ac:dyDescent="0.25">
      <c r="A49" s="7" t="s">
        <v>277</v>
      </c>
      <c r="B49" s="8" t="s">
        <v>22</v>
      </c>
      <c r="C49" s="7" t="s">
        <v>278</v>
      </c>
      <c r="D49" s="7" t="s">
        <v>278</v>
      </c>
      <c r="E49" s="4" t="s">
        <v>279</v>
      </c>
      <c r="F49" s="7" t="s">
        <v>280</v>
      </c>
      <c r="G49" s="7"/>
      <c r="H49" s="70" t="s">
        <v>923</v>
      </c>
      <c r="I49" s="10">
        <v>103856804</v>
      </c>
      <c r="J49" s="7" t="s">
        <v>281</v>
      </c>
      <c r="K49" s="7" t="s">
        <v>282</v>
      </c>
      <c r="L49" s="7">
        <v>103446548</v>
      </c>
      <c r="M49" s="22"/>
    </row>
    <row r="50" spans="1:13" ht="165" x14ac:dyDescent="0.25">
      <c r="A50" s="7" t="s">
        <v>283</v>
      </c>
      <c r="B50" s="5" t="s">
        <v>16</v>
      </c>
      <c r="C50" s="4" t="s">
        <v>284</v>
      </c>
      <c r="D50" s="7">
        <v>500998694</v>
      </c>
      <c r="E50" s="7">
        <v>501147342</v>
      </c>
      <c r="F50" s="7" t="s">
        <v>285</v>
      </c>
      <c r="G50" s="7" t="s">
        <v>286</v>
      </c>
      <c r="H50" s="7"/>
      <c r="I50" s="7">
        <v>501015057</v>
      </c>
      <c r="J50" s="7" t="s">
        <v>287</v>
      </c>
      <c r="K50" s="7" t="s">
        <v>73</v>
      </c>
      <c r="L50" s="7">
        <v>103593767</v>
      </c>
      <c r="M50" s="22"/>
    </row>
    <row r="51" spans="1:13" ht="45" x14ac:dyDescent="0.25">
      <c r="A51" s="7" t="s">
        <v>288</v>
      </c>
      <c r="B51" s="5" t="s">
        <v>16</v>
      </c>
      <c r="C51" s="7" t="s">
        <v>289</v>
      </c>
      <c r="D51" s="7">
        <v>501048155</v>
      </c>
      <c r="E51" s="7" t="s">
        <v>290</v>
      </c>
      <c r="F51" s="7" t="s">
        <v>291</v>
      </c>
      <c r="G51" s="7" t="s">
        <v>292</v>
      </c>
      <c r="H51" s="7"/>
      <c r="I51" s="10">
        <v>501010984</v>
      </c>
      <c r="J51" s="7" t="s">
        <v>293</v>
      </c>
      <c r="K51" s="7" t="s">
        <v>294</v>
      </c>
      <c r="L51" s="7">
        <v>103568411</v>
      </c>
      <c r="M51" s="22"/>
    </row>
    <row r="52" spans="1:13" ht="75" x14ac:dyDescent="0.25">
      <c r="A52" s="7" t="s">
        <v>295</v>
      </c>
      <c r="B52" s="5" t="s">
        <v>16</v>
      </c>
      <c r="C52" s="16" t="s">
        <v>296</v>
      </c>
      <c r="D52" s="7">
        <v>501050537</v>
      </c>
      <c r="E52" s="7">
        <v>501053926</v>
      </c>
      <c r="F52" s="7" t="s">
        <v>297</v>
      </c>
      <c r="G52" s="7"/>
      <c r="H52" s="7"/>
      <c r="I52" s="10">
        <v>502055911</v>
      </c>
      <c r="J52" s="7" t="s">
        <v>298</v>
      </c>
      <c r="K52" s="7" t="s">
        <v>103</v>
      </c>
      <c r="L52" s="7">
        <v>103439865</v>
      </c>
      <c r="M52" s="22" t="s">
        <v>299</v>
      </c>
    </row>
    <row r="53" spans="1:13" ht="45" x14ac:dyDescent="0.25">
      <c r="A53" s="26" t="s">
        <v>300</v>
      </c>
      <c r="B53" s="5" t="s">
        <v>16</v>
      </c>
      <c r="C53" s="26" t="s">
        <v>301</v>
      </c>
      <c r="D53" s="10">
        <v>501052970</v>
      </c>
      <c r="E53" s="10">
        <v>501205183</v>
      </c>
      <c r="F53" s="7" t="s">
        <v>302</v>
      </c>
      <c r="G53" s="7"/>
      <c r="H53" s="7"/>
      <c r="I53" s="7">
        <v>501075471</v>
      </c>
      <c r="J53" s="7" t="s">
        <v>303</v>
      </c>
      <c r="K53" s="7" t="s">
        <v>304</v>
      </c>
      <c r="L53" s="7">
        <v>103303047</v>
      </c>
      <c r="M53" s="22" t="s">
        <v>305</v>
      </c>
    </row>
    <row r="54" spans="1:13" ht="45" x14ac:dyDescent="0.25">
      <c r="A54" s="7" t="s">
        <v>306</v>
      </c>
      <c r="B54" s="5" t="s">
        <v>16</v>
      </c>
      <c r="C54" s="26" t="s">
        <v>307</v>
      </c>
      <c r="D54" s="7">
        <v>501053046</v>
      </c>
      <c r="E54" s="7">
        <v>501230166</v>
      </c>
      <c r="F54" s="7" t="s">
        <v>308</v>
      </c>
      <c r="G54" s="7"/>
      <c r="H54" s="52"/>
      <c r="I54" s="52">
        <v>501932485</v>
      </c>
      <c r="J54" s="7" t="s">
        <v>303</v>
      </c>
      <c r="K54" s="7" t="s">
        <v>103</v>
      </c>
      <c r="L54" s="7">
        <v>103303047</v>
      </c>
      <c r="M54" s="22" t="s">
        <v>309</v>
      </c>
    </row>
    <row r="55" spans="1:13" ht="30" x14ac:dyDescent="0.25">
      <c r="A55" s="7" t="s">
        <v>310</v>
      </c>
      <c r="B55" s="8" t="s">
        <v>10</v>
      </c>
      <c r="C55" s="7" t="s">
        <v>311</v>
      </c>
      <c r="D55" s="7">
        <v>501059351</v>
      </c>
      <c r="E55" s="7">
        <v>501115319</v>
      </c>
      <c r="F55" s="7" t="s">
        <v>312</v>
      </c>
      <c r="G55" s="7" t="s">
        <v>313</v>
      </c>
      <c r="H55" s="7"/>
      <c r="I55" s="7">
        <v>501010983</v>
      </c>
      <c r="J55" s="7" t="s">
        <v>314</v>
      </c>
      <c r="K55" s="7" t="s">
        <v>315</v>
      </c>
      <c r="L55" s="7">
        <v>103393230</v>
      </c>
      <c r="M55" s="22"/>
    </row>
    <row r="56" spans="1:13" ht="409.5" x14ac:dyDescent="0.25">
      <c r="A56" s="7" t="s">
        <v>316</v>
      </c>
      <c r="B56" s="5" t="s">
        <v>16</v>
      </c>
      <c r="C56" s="7" t="s">
        <v>317</v>
      </c>
      <c r="D56" s="7">
        <v>501067610</v>
      </c>
      <c r="E56" s="7">
        <v>501093514</v>
      </c>
      <c r="F56" s="7" t="s">
        <v>318</v>
      </c>
      <c r="G56" s="7" t="s">
        <v>319</v>
      </c>
      <c r="H56" s="7"/>
      <c r="I56" s="10">
        <v>502055920</v>
      </c>
      <c r="J56" s="7" t="s">
        <v>320</v>
      </c>
      <c r="K56" s="7" t="s">
        <v>103</v>
      </c>
      <c r="L56" s="7">
        <v>103439865</v>
      </c>
      <c r="M56" s="33" t="s">
        <v>321</v>
      </c>
    </row>
    <row r="57" spans="1:13" ht="60" x14ac:dyDescent="0.25">
      <c r="A57" s="7" t="s">
        <v>322</v>
      </c>
      <c r="B57" s="5" t="s">
        <v>16</v>
      </c>
      <c r="C57" s="7" t="s">
        <v>323</v>
      </c>
      <c r="D57" s="7">
        <v>501114620</v>
      </c>
      <c r="E57" s="7">
        <v>501114609</v>
      </c>
      <c r="F57" s="7" t="s">
        <v>324</v>
      </c>
      <c r="G57" s="7" t="s">
        <v>325</v>
      </c>
      <c r="H57" s="7"/>
      <c r="I57" s="7">
        <v>103831394</v>
      </c>
      <c r="J57" s="7" t="s">
        <v>326</v>
      </c>
      <c r="K57" s="7" t="s">
        <v>327</v>
      </c>
      <c r="L57" s="7">
        <v>103422917</v>
      </c>
      <c r="M57" s="22"/>
    </row>
    <row r="58" spans="1:13" ht="180" x14ac:dyDescent="0.25">
      <c r="A58" s="7" t="s">
        <v>328</v>
      </c>
      <c r="B58" s="5" t="s">
        <v>16</v>
      </c>
      <c r="C58" s="7" t="s">
        <v>329</v>
      </c>
      <c r="D58" s="7">
        <v>501117620</v>
      </c>
      <c r="E58" s="7">
        <v>501115609</v>
      </c>
      <c r="F58" s="7" t="s">
        <v>330</v>
      </c>
      <c r="G58" s="7" t="s">
        <v>331</v>
      </c>
      <c r="H58" s="7"/>
      <c r="I58" s="7">
        <v>103797537</v>
      </c>
      <c r="J58" s="7" t="s">
        <v>332</v>
      </c>
      <c r="K58" s="7" t="s">
        <v>327</v>
      </c>
      <c r="L58" s="7">
        <v>103568411</v>
      </c>
      <c r="M58" s="22"/>
    </row>
    <row r="59" spans="1:13" ht="135" x14ac:dyDescent="0.25">
      <c r="A59" s="30" t="s">
        <v>333</v>
      </c>
      <c r="B59" s="5" t="s">
        <v>16</v>
      </c>
      <c r="C59" s="12" t="s">
        <v>334</v>
      </c>
      <c r="D59" s="30">
        <v>501144271</v>
      </c>
      <c r="E59" s="30">
        <v>501144274</v>
      </c>
      <c r="F59" s="7" t="s">
        <v>335</v>
      </c>
      <c r="G59" s="7" t="s">
        <v>336</v>
      </c>
      <c r="H59" s="7"/>
      <c r="I59" s="7">
        <v>501010912</v>
      </c>
      <c r="J59" s="7" t="s">
        <v>337</v>
      </c>
      <c r="K59" s="7" t="s">
        <v>103</v>
      </c>
      <c r="L59" s="7">
        <v>103556360</v>
      </c>
      <c r="M59" s="22"/>
    </row>
    <row r="60" spans="1:13" ht="409.5" x14ac:dyDescent="0.25">
      <c r="A60" s="7" t="s">
        <v>338</v>
      </c>
      <c r="B60" s="5" t="s">
        <v>16</v>
      </c>
      <c r="C60" s="4" t="s">
        <v>339</v>
      </c>
      <c r="D60" s="7">
        <v>501178652</v>
      </c>
      <c r="E60" s="7">
        <v>501186443</v>
      </c>
      <c r="F60" s="7" t="s">
        <v>340</v>
      </c>
      <c r="G60" s="7" t="s">
        <v>341</v>
      </c>
      <c r="H60" s="7"/>
      <c r="I60" s="7">
        <v>103803987</v>
      </c>
      <c r="J60" s="28" t="s">
        <v>342</v>
      </c>
      <c r="K60" s="28" t="s">
        <v>20</v>
      </c>
      <c r="L60" s="28">
        <v>103593743</v>
      </c>
      <c r="M60" s="22"/>
    </row>
    <row r="61" spans="1:13" x14ac:dyDescent="0.25">
      <c r="A61" s="7" t="s">
        <v>343</v>
      </c>
      <c r="B61" s="5" t="s">
        <v>16</v>
      </c>
      <c r="C61" s="7" t="s">
        <v>344</v>
      </c>
      <c r="D61" s="7">
        <v>501294506</v>
      </c>
      <c r="E61" s="7">
        <v>501368960</v>
      </c>
      <c r="F61" s="7" t="s">
        <v>345</v>
      </c>
      <c r="G61" s="7">
        <v>222984</v>
      </c>
      <c r="H61" s="7"/>
      <c r="I61" s="7">
        <v>501106037</v>
      </c>
      <c r="J61" s="7" t="s">
        <v>346</v>
      </c>
      <c r="K61" s="7" t="s">
        <v>347</v>
      </c>
      <c r="L61" s="7">
        <v>103440014</v>
      </c>
      <c r="M61" s="22"/>
    </row>
    <row r="62" spans="1:13" ht="45" x14ac:dyDescent="0.25">
      <c r="A62" s="7" t="s">
        <v>348</v>
      </c>
      <c r="B62" s="5" t="s">
        <v>16</v>
      </c>
      <c r="C62" s="7" t="s">
        <v>349</v>
      </c>
      <c r="D62" s="7">
        <v>501420286</v>
      </c>
      <c r="E62" s="7">
        <v>501420289</v>
      </c>
      <c r="F62" s="7" t="s">
        <v>350</v>
      </c>
      <c r="G62" s="7" t="s">
        <v>351</v>
      </c>
      <c r="H62" s="7"/>
      <c r="I62" s="7">
        <v>501292712</v>
      </c>
      <c r="J62" s="7" t="s">
        <v>352</v>
      </c>
      <c r="K62" s="7" t="s">
        <v>234</v>
      </c>
      <c r="L62" s="7">
        <v>501038689</v>
      </c>
      <c r="M62" s="22"/>
    </row>
    <row r="63" spans="1:13" ht="90" x14ac:dyDescent="0.25">
      <c r="A63" s="7" t="s">
        <v>353</v>
      </c>
      <c r="B63" s="5" t="s">
        <v>16</v>
      </c>
      <c r="C63" s="7" t="s">
        <v>354</v>
      </c>
      <c r="D63" s="7">
        <v>502218079</v>
      </c>
      <c r="E63" s="7">
        <v>502218494</v>
      </c>
      <c r="F63" s="7" t="s">
        <v>355</v>
      </c>
      <c r="G63" s="7"/>
      <c r="H63" s="7"/>
      <c r="I63" s="12">
        <v>501476772</v>
      </c>
      <c r="J63" s="7" t="s">
        <v>356</v>
      </c>
      <c r="K63" s="7" t="s">
        <v>357</v>
      </c>
      <c r="L63" s="7">
        <v>501506871</v>
      </c>
      <c r="M63" s="22"/>
    </row>
    <row r="64" spans="1:13" ht="30" x14ac:dyDescent="0.25">
      <c r="A64" s="10" t="s">
        <v>358</v>
      </c>
      <c r="B64" s="5" t="s">
        <v>16</v>
      </c>
      <c r="C64" s="7" t="s">
        <v>359</v>
      </c>
      <c r="D64" s="7" t="s">
        <v>359</v>
      </c>
      <c r="E64" s="7">
        <v>501479424</v>
      </c>
      <c r="F64" s="7" t="s">
        <v>360</v>
      </c>
      <c r="G64" s="7" t="s">
        <v>361</v>
      </c>
      <c r="H64" s="7"/>
      <c r="I64" s="7">
        <v>501010958</v>
      </c>
      <c r="J64" s="7" t="s">
        <v>362</v>
      </c>
      <c r="K64" s="7" t="s">
        <v>234</v>
      </c>
      <c r="L64" s="7">
        <v>501038689</v>
      </c>
      <c r="M64" s="22"/>
    </row>
    <row r="65" spans="1:13" ht="150" x14ac:dyDescent="0.25">
      <c r="A65" s="26" t="s">
        <v>363</v>
      </c>
      <c r="B65" s="5" t="s">
        <v>16</v>
      </c>
      <c r="C65" s="29" t="s">
        <v>364</v>
      </c>
      <c r="D65" s="4" t="s">
        <v>364</v>
      </c>
      <c r="E65" s="4" t="s">
        <v>365</v>
      </c>
      <c r="F65" s="7" t="s">
        <v>366</v>
      </c>
      <c r="G65" s="7" t="s">
        <v>367</v>
      </c>
      <c r="H65" s="7"/>
      <c r="I65" s="7">
        <v>501303883</v>
      </c>
      <c r="J65" s="7" t="s">
        <v>368</v>
      </c>
      <c r="K65" s="7" t="s">
        <v>113</v>
      </c>
      <c r="L65" s="7">
        <v>501122891</v>
      </c>
      <c r="M65" s="22" t="s">
        <v>369</v>
      </c>
    </row>
    <row r="66" spans="1:13" ht="75" x14ac:dyDescent="0.25">
      <c r="A66" s="30" t="s">
        <v>370</v>
      </c>
      <c r="B66" s="8" t="s">
        <v>22</v>
      </c>
      <c r="C66" s="4" t="s">
        <v>371</v>
      </c>
      <c r="D66" s="30">
        <v>501080745</v>
      </c>
      <c r="E66" s="30">
        <v>501084396</v>
      </c>
      <c r="F66" s="7" t="s">
        <v>372</v>
      </c>
      <c r="G66" s="7"/>
      <c r="H66" s="70" t="s">
        <v>924</v>
      </c>
      <c r="I66" s="7">
        <v>501133433</v>
      </c>
      <c r="J66" s="7" t="s">
        <v>373</v>
      </c>
      <c r="K66" s="7" t="s">
        <v>374</v>
      </c>
      <c r="L66" s="7">
        <v>103336648</v>
      </c>
      <c r="M66" s="38" t="s">
        <v>375</v>
      </c>
    </row>
    <row r="67" spans="1:13" ht="210" x14ac:dyDescent="0.25">
      <c r="A67" s="10" t="s">
        <v>376</v>
      </c>
      <c r="B67" s="5" t="s">
        <v>16</v>
      </c>
      <c r="C67" s="26" t="s">
        <v>377</v>
      </c>
      <c r="D67" s="10">
        <v>501293783</v>
      </c>
      <c r="E67" s="10" t="s">
        <v>378</v>
      </c>
      <c r="F67" s="7" t="s">
        <v>379</v>
      </c>
      <c r="G67" s="7" t="s">
        <v>380</v>
      </c>
      <c r="H67" s="7"/>
      <c r="I67" s="7">
        <v>103866885</v>
      </c>
      <c r="J67" s="7" t="s">
        <v>381</v>
      </c>
      <c r="K67" s="7">
        <v>103863296</v>
      </c>
      <c r="L67" s="7">
        <v>103455955</v>
      </c>
      <c r="M67" s="8" t="s">
        <v>382</v>
      </c>
    </row>
    <row r="68" spans="1:13" ht="135" x14ac:dyDescent="0.25">
      <c r="A68" s="7" t="s">
        <v>383</v>
      </c>
      <c r="B68" s="5" t="s">
        <v>16</v>
      </c>
      <c r="C68" s="4" t="s">
        <v>384</v>
      </c>
      <c r="D68" s="7">
        <v>501359665</v>
      </c>
      <c r="E68" s="7">
        <v>501360102</v>
      </c>
      <c r="F68" s="7" t="s">
        <v>385</v>
      </c>
      <c r="G68" s="7"/>
      <c r="H68" s="7"/>
      <c r="I68" s="7">
        <v>501201367</v>
      </c>
      <c r="J68" s="7" t="s">
        <v>386</v>
      </c>
      <c r="K68" s="7" t="s">
        <v>387</v>
      </c>
      <c r="L68" s="7">
        <v>501201335</v>
      </c>
      <c r="M68" s="22"/>
    </row>
    <row r="69" spans="1:13" ht="165" x14ac:dyDescent="0.25">
      <c r="A69" s="7" t="s">
        <v>388</v>
      </c>
      <c r="B69" s="8" t="s">
        <v>10</v>
      </c>
      <c r="C69" s="7" t="s">
        <v>389</v>
      </c>
      <c r="D69" s="7" t="s">
        <v>389</v>
      </c>
      <c r="E69" s="7" t="s">
        <v>390</v>
      </c>
      <c r="F69" s="7" t="s">
        <v>391</v>
      </c>
      <c r="G69" s="7"/>
      <c r="H69" s="70" t="s">
        <v>925</v>
      </c>
      <c r="I69" s="7" t="s">
        <v>392</v>
      </c>
      <c r="J69" s="7" t="s">
        <v>393</v>
      </c>
      <c r="K69" s="7" t="s">
        <v>394</v>
      </c>
      <c r="L69" s="7" t="s">
        <v>395</v>
      </c>
      <c r="M69" s="8" t="s">
        <v>396</v>
      </c>
    </row>
    <row r="70" spans="1:13" ht="180" x14ac:dyDescent="0.25">
      <c r="A70" s="7" t="s">
        <v>397</v>
      </c>
      <c r="B70" s="5" t="s">
        <v>16</v>
      </c>
      <c r="C70" s="7" t="s">
        <v>398</v>
      </c>
      <c r="D70" s="7" t="s">
        <v>398</v>
      </c>
      <c r="E70" s="7" t="s">
        <v>399</v>
      </c>
      <c r="F70" s="7" t="s">
        <v>400</v>
      </c>
      <c r="G70" s="7"/>
      <c r="H70" s="7"/>
      <c r="I70" s="7">
        <v>501377445</v>
      </c>
      <c r="J70" s="7" t="s">
        <v>401</v>
      </c>
      <c r="K70" s="7" t="s">
        <v>73</v>
      </c>
      <c r="L70" s="7" t="s">
        <v>402</v>
      </c>
      <c r="M70" s="8" t="s">
        <v>403</v>
      </c>
    </row>
    <row r="71" spans="1:13" ht="360" x14ac:dyDescent="0.25">
      <c r="A71" s="31" t="s">
        <v>404</v>
      </c>
      <c r="B71" s="8" t="s">
        <v>22</v>
      </c>
      <c r="C71" s="7" t="s">
        <v>405</v>
      </c>
      <c r="D71" s="7" t="s">
        <v>405</v>
      </c>
      <c r="E71" s="7" t="s">
        <v>406</v>
      </c>
      <c r="F71" s="7" t="s">
        <v>407</v>
      </c>
      <c r="G71" s="7"/>
      <c r="H71" s="70" t="s">
        <v>926</v>
      </c>
      <c r="I71" s="7" t="s">
        <v>408</v>
      </c>
      <c r="J71" s="7" t="s">
        <v>409</v>
      </c>
      <c r="K71" s="7" t="s">
        <v>410</v>
      </c>
      <c r="L71" s="7" t="s">
        <v>411</v>
      </c>
      <c r="M71" s="22"/>
    </row>
    <row r="72" spans="1:13" ht="60" x14ac:dyDescent="0.25">
      <c r="A72" s="31" t="s">
        <v>412</v>
      </c>
      <c r="B72" s="8" t="s">
        <v>22</v>
      </c>
      <c r="C72" s="7" t="s">
        <v>413</v>
      </c>
      <c r="D72" s="7" t="s">
        <v>413</v>
      </c>
      <c r="E72" s="7" t="s">
        <v>414</v>
      </c>
      <c r="F72" s="7" t="s">
        <v>415</v>
      </c>
      <c r="G72" s="7"/>
      <c r="H72" s="70" t="s">
        <v>927</v>
      </c>
      <c r="I72" s="7" t="s">
        <v>416</v>
      </c>
      <c r="J72" s="7" t="s">
        <v>417</v>
      </c>
      <c r="K72" s="39" t="s">
        <v>418</v>
      </c>
      <c r="L72" s="39" t="s">
        <v>419</v>
      </c>
      <c r="M72" s="22"/>
    </row>
    <row r="73" spans="1:13" ht="30" x14ac:dyDescent="0.25">
      <c r="A73" s="7" t="s">
        <v>420</v>
      </c>
      <c r="B73" s="8" t="s">
        <v>22</v>
      </c>
      <c r="C73" s="7" t="s">
        <v>421</v>
      </c>
      <c r="D73" s="7" t="s">
        <v>421</v>
      </c>
      <c r="E73" s="7" t="s">
        <v>422</v>
      </c>
      <c r="F73" s="7" t="s">
        <v>423</v>
      </c>
      <c r="G73" s="7"/>
      <c r="H73" s="70" t="s">
        <v>928</v>
      </c>
      <c r="I73" s="10">
        <v>103773290</v>
      </c>
      <c r="J73" s="7" t="s">
        <v>424</v>
      </c>
      <c r="K73" s="7" t="s">
        <v>425</v>
      </c>
      <c r="L73" s="7">
        <v>103875464</v>
      </c>
      <c r="M73" s="22"/>
    </row>
    <row r="74" spans="1:13" ht="90" x14ac:dyDescent="0.25">
      <c r="A74" s="7" t="s">
        <v>426</v>
      </c>
      <c r="B74" s="8" t="s">
        <v>22</v>
      </c>
      <c r="C74" s="7" t="s">
        <v>427</v>
      </c>
      <c r="D74" s="7" t="s">
        <v>427</v>
      </c>
      <c r="E74" s="7" t="s">
        <v>428</v>
      </c>
      <c r="F74" s="7" t="s">
        <v>429</v>
      </c>
      <c r="G74" s="7"/>
      <c r="H74" s="70" t="s">
        <v>929</v>
      </c>
      <c r="I74" s="7">
        <v>103838104</v>
      </c>
      <c r="J74" s="7" t="s">
        <v>430</v>
      </c>
      <c r="K74" s="7" t="s">
        <v>431</v>
      </c>
      <c r="L74" s="7">
        <v>103347019</v>
      </c>
      <c r="M74" s="33" t="s">
        <v>432</v>
      </c>
    </row>
    <row r="75" spans="1:13" ht="30" x14ac:dyDescent="0.25">
      <c r="A75" s="7" t="s">
        <v>433</v>
      </c>
      <c r="B75" s="8" t="s">
        <v>22</v>
      </c>
      <c r="C75" s="7" t="s">
        <v>434</v>
      </c>
      <c r="D75" s="7" t="s">
        <v>434</v>
      </c>
      <c r="E75" s="7" t="s">
        <v>435</v>
      </c>
      <c r="F75" s="7" t="s">
        <v>436</v>
      </c>
      <c r="G75" s="7"/>
      <c r="H75" s="70" t="s">
        <v>930</v>
      </c>
      <c r="I75" s="7">
        <v>103857898</v>
      </c>
      <c r="J75" s="7" t="s">
        <v>437</v>
      </c>
      <c r="K75" s="7" t="s">
        <v>438</v>
      </c>
      <c r="L75" s="7">
        <v>103830241</v>
      </c>
      <c r="M75" s="22"/>
    </row>
    <row r="76" spans="1:13" ht="45" x14ac:dyDescent="0.25">
      <c r="A76" s="7" t="s">
        <v>439</v>
      </c>
      <c r="B76" s="5" t="s">
        <v>16</v>
      </c>
      <c r="C76" s="7" t="s">
        <v>440</v>
      </c>
      <c r="D76" s="7" t="s">
        <v>440</v>
      </c>
      <c r="E76" s="7" t="s">
        <v>441</v>
      </c>
      <c r="F76" s="7" t="s">
        <v>442</v>
      </c>
      <c r="G76" s="7" t="s">
        <v>443</v>
      </c>
      <c r="H76" s="7"/>
      <c r="I76" s="7">
        <v>103754433</v>
      </c>
      <c r="J76" s="7" t="s">
        <v>444</v>
      </c>
      <c r="K76" s="7" t="s">
        <v>73</v>
      </c>
      <c r="L76" s="7">
        <v>103732563</v>
      </c>
      <c r="M76" s="22"/>
    </row>
    <row r="77" spans="1:13" ht="409.5" x14ac:dyDescent="0.25">
      <c r="A77" s="7" t="s">
        <v>445</v>
      </c>
      <c r="B77" s="8" t="s">
        <v>22</v>
      </c>
      <c r="C77" s="7" t="s">
        <v>446</v>
      </c>
      <c r="D77" s="7">
        <v>501408204</v>
      </c>
      <c r="E77" s="7">
        <v>501476583</v>
      </c>
      <c r="F77" s="7" t="s">
        <v>447</v>
      </c>
      <c r="G77" s="7" t="s">
        <v>448</v>
      </c>
      <c r="H77" s="70" t="s">
        <v>931</v>
      </c>
      <c r="I77" s="7">
        <v>501012055</v>
      </c>
      <c r="J77" s="7" t="s">
        <v>449</v>
      </c>
      <c r="K77" s="7" t="s">
        <v>294</v>
      </c>
      <c r="L77" s="7">
        <v>103434953</v>
      </c>
      <c r="M77" s="22"/>
    </row>
    <row r="78" spans="1:13" ht="45" x14ac:dyDescent="0.25">
      <c r="A78" s="7" t="s">
        <v>450</v>
      </c>
      <c r="B78" s="8" t="s">
        <v>451</v>
      </c>
      <c r="C78" s="7" t="s">
        <v>452</v>
      </c>
      <c r="D78" s="7">
        <v>501026462</v>
      </c>
      <c r="E78" s="7">
        <v>501062598</v>
      </c>
      <c r="F78" s="7" t="s">
        <v>453</v>
      </c>
      <c r="G78" s="7"/>
      <c r="H78" s="7"/>
      <c r="I78" s="7" t="s">
        <v>155</v>
      </c>
      <c r="J78" s="7" t="s">
        <v>454</v>
      </c>
      <c r="K78" s="7" t="s">
        <v>455</v>
      </c>
      <c r="L78" s="7">
        <v>103579449</v>
      </c>
      <c r="M78" s="22"/>
    </row>
    <row r="79" spans="1:13" ht="405" x14ac:dyDescent="0.25">
      <c r="A79" s="7" t="s">
        <v>456</v>
      </c>
      <c r="B79" s="8" t="s">
        <v>457</v>
      </c>
      <c r="C79" s="7" t="s">
        <v>458</v>
      </c>
      <c r="D79" s="7">
        <v>103886341</v>
      </c>
      <c r="E79" s="7">
        <v>103886347</v>
      </c>
      <c r="F79" s="7" t="s">
        <v>459</v>
      </c>
      <c r="G79" s="7" t="s">
        <v>460</v>
      </c>
      <c r="H79" s="7"/>
      <c r="I79" s="7" t="s">
        <v>155</v>
      </c>
      <c r="J79" s="7" t="s">
        <v>461</v>
      </c>
      <c r="K79" s="7" t="s">
        <v>455</v>
      </c>
      <c r="L79" s="7">
        <v>103810148</v>
      </c>
      <c r="M79" s="22"/>
    </row>
    <row r="80" spans="1:13" ht="75" x14ac:dyDescent="0.25">
      <c r="A80" s="7" t="s">
        <v>462</v>
      </c>
      <c r="B80" s="8" t="s">
        <v>457</v>
      </c>
      <c r="C80" s="7" t="s">
        <v>463</v>
      </c>
      <c r="D80" s="7">
        <v>501067166</v>
      </c>
      <c r="E80" s="7">
        <v>501069646</v>
      </c>
      <c r="F80" s="7" t="s">
        <v>464</v>
      </c>
      <c r="G80" s="7" t="s">
        <v>465</v>
      </c>
      <c r="H80" s="7"/>
      <c r="I80" s="7" t="s">
        <v>155</v>
      </c>
      <c r="J80" s="7" t="s">
        <v>466</v>
      </c>
      <c r="K80" s="7" t="s">
        <v>455</v>
      </c>
      <c r="L80" s="7">
        <v>501106378</v>
      </c>
      <c r="M80" s="22"/>
    </row>
    <row r="81" spans="1:13" ht="409.5" x14ac:dyDescent="0.25">
      <c r="A81" s="7" t="s">
        <v>467</v>
      </c>
      <c r="B81" s="8" t="s">
        <v>457</v>
      </c>
      <c r="C81" s="7" t="s">
        <v>468</v>
      </c>
      <c r="D81" s="7">
        <v>501041734</v>
      </c>
      <c r="E81" s="7">
        <v>501069645</v>
      </c>
      <c r="F81" s="7" t="s">
        <v>469</v>
      </c>
      <c r="G81" s="7" t="s">
        <v>470</v>
      </c>
      <c r="H81" s="7"/>
      <c r="I81" s="7" t="s">
        <v>155</v>
      </c>
      <c r="J81" s="7" t="s">
        <v>471</v>
      </c>
      <c r="K81" s="7" t="s">
        <v>455</v>
      </c>
      <c r="L81" s="7">
        <v>501106378</v>
      </c>
      <c r="M81" s="22"/>
    </row>
    <row r="82" spans="1:13" ht="210" x14ac:dyDescent="0.25">
      <c r="A82" s="7" t="s">
        <v>472</v>
      </c>
      <c r="B82" s="8" t="s">
        <v>473</v>
      </c>
      <c r="C82" s="7" t="s">
        <v>474</v>
      </c>
      <c r="D82" s="7">
        <v>103886335</v>
      </c>
      <c r="E82" s="7">
        <v>103886337</v>
      </c>
      <c r="F82" s="7" t="s">
        <v>475</v>
      </c>
      <c r="G82" s="7" t="s">
        <v>476</v>
      </c>
      <c r="H82" s="7"/>
      <c r="I82" s="7" t="s">
        <v>155</v>
      </c>
      <c r="J82" s="7" t="s">
        <v>477</v>
      </c>
      <c r="K82" s="7" t="s">
        <v>455</v>
      </c>
      <c r="L82" s="7">
        <v>501106378</v>
      </c>
      <c r="M82" s="22"/>
    </row>
    <row r="83" spans="1:13" ht="135" x14ac:dyDescent="0.25">
      <c r="A83" s="7" t="s">
        <v>478</v>
      </c>
      <c r="B83" s="8" t="s">
        <v>457</v>
      </c>
      <c r="C83" s="7" t="s">
        <v>479</v>
      </c>
      <c r="D83" s="7">
        <v>501037048</v>
      </c>
      <c r="E83" s="7">
        <v>501989222</v>
      </c>
      <c r="F83" s="7" t="s">
        <v>480</v>
      </c>
      <c r="G83" s="7" t="s">
        <v>481</v>
      </c>
      <c r="H83" s="7"/>
      <c r="I83" s="7" t="s">
        <v>155</v>
      </c>
      <c r="J83" s="7" t="s">
        <v>482</v>
      </c>
      <c r="K83" s="7" t="s">
        <v>455</v>
      </c>
      <c r="L83" s="7">
        <v>501106378</v>
      </c>
      <c r="M83" s="22"/>
    </row>
    <row r="84" spans="1:13" ht="30" x14ac:dyDescent="0.25">
      <c r="A84" s="7" t="s">
        <v>483</v>
      </c>
      <c r="B84" s="8" t="s">
        <v>457</v>
      </c>
      <c r="C84" s="7" t="s">
        <v>484</v>
      </c>
      <c r="D84" s="7">
        <v>501908500</v>
      </c>
      <c r="E84" s="7">
        <v>502001780</v>
      </c>
      <c r="F84" s="7" t="s">
        <v>485</v>
      </c>
      <c r="G84" s="7"/>
      <c r="H84" s="7"/>
      <c r="I84" s="7" t="s">
        <v>155</v>
      </c>
      <c r="J84" s="7" t="s">
        <v>486</v>
      </c>
      <c r="K84" s="7" t="s">
        <v>455</v>
      </c>
      <c r="L84" s="7">
        <v>501106378</v>
      </c>
      <c r="M84" s="22"/>
    </row>
    <row r="85" spans="1:13" ht="150" x14ac:dyDescent="0.25">
      <c r="A85" s="7" t="s">
        <v>487</v>
      </c>
      <c r="B85" s="8" t="s">
        <v>22</v>
      </c>
      <c r="C85" s="7" t="s">
        <v>488</v>
      </c>
      <c r="D85" s="7">
        <v>502567598</v>
      </c>
      <c r="E85" s="7"/>
      <c r="F85" s="7"/>
      <c r="G85" s="7" t="s">
        <v>489</v>
      </c>
      <c r="H85" s="7"/>
      <c r="I85" s="7"/>
      <c r="J85" s="7" t="s">
        <v>490</v>
      </c>
      <c r="K85" s="7" t="s">
        <v>491</v>
      </c>
      <c r="L85" s="7">
        <v>103691026</v>
      </c>
      <c r="M85" s="7"/>
    </row>
    <row r="86" spans="1:13" ht="330" x14ac:dyDescent="0.25">
      <c r="A86" s="7" t="s">
        <v>492</v>
      </c>
      <c r="B86" s="8" t="s">
        <v>457</v>
      </c>
      <c r="C86" s="7" t="s">
        <v>493</v>
      </c>
      <c r="D86" s="7">
        <v>502568969</v>
      </c>
      <c r="E86" s="7"/>
      <c r="F86" s="7"/>
      <c r="G86" s="7" t="s">
        <v>494</v>
      </c>
      <c r="H86" s="7"/>
      <c r="I86" s="7"/>
      <c r="J86" s="7" t="s">
        <v>495</v>
      </c>
      <c r="K86" s="7" t="s">
        <v>455</v>
      </c>
      <c r="L86" s="7">
        <v>501285963</v>
      </c>
      <c r="M86" s="33"/>
    </row>
    <row r="87" spans="1:13" ht="150" x14ac:dyDescent="0.25">
      <c r="A87" s="7" t="s">
        <v>496</v>
      </c>
      <c r="B87" s="8" t="s">
        <v>22</v>
      </c>
      <c r="C87" s="7" t="s">
        <v>497</v>
      </c>
      <c r="D87" s="7">
        <v>502560024</v>
      </c>
      <c r="E87" s="7" t="s">
        <v>498</v>
      </c>
      <c r="F87" s="7"/>
      <c r="G87" s="7" t="s">
        <v>499</v>
      </c>
      <c r="H87" s="7"/>
      <c r="I87" s="7"/>
      <c r="J87" s="7" t="s">
        <v>500</v>
      </c>
      <c r="K87" s="7" t="s">
        <v>501</v>
      </c>
      <c r="L87" s="7">
        <v>103788375</v>
      </c>
      <c r="M87" s="33"/>
    </row>
    <row r="88" spans="1:13" ht="30" x14ac:dyDescent="0.25">
      <c r="A88" s="7" t="s">
        <v>502</v>
      </c>
      <c r="B88" s="8" t="s">
        <v>503</v>
      </c>
      <c r="C88" s="7" t="s">
        <v>504</v>
      </c>
      <c r="D88" s="7">
        <v>502113993</v>
      </c>
      <c r="E88" s="7" t="s">
        <v>505</v>
      </c>
      <c r="F88" s="7"/>
      <c r="G88" s="7"/>
      <c r="H88" s="7"/>
      <c r="I88" s="7"/>
      <c r="J88" s="7" t="s">
        <v>495</v>
      </c>
      <c r="K88" s="7" t="s">
        <v>455</v>
      </c>
      <c r="L88" s="7" t="s">
        <v>506</v>
      </c>
      <c r="M88" s="33"/>
    </row>
    <row r="89" spans="1:13" ht="30" x14ac:dyDescent="0.25">
      <c r="A89" s="7" t="s">
        <v>507</v>
      </c>
      <c r="B89" s="8" t="s">
        <v>22</v>
      </c>
      <c r="C89" s="7" t="s">
        <v>508</v>
      </c>
      <c r="D89" s="7">
        <v>502163793</v>
      </c>
      <c r="E89" s="7">
        <v>502163296</v>
      </c>
      <c r="F89" s="7"/>
      <c r="G89" s="7"/>
      <c r="H89" s="7"/>
      <c r="I89" s="7"/>
      <c r="J89" s="7" t="s">
        <v>509</v>
      </c>
      <c r="K89" s="7" t="s">
        <v>501</v>
      </c>
      <c r="L89" s="7">
        <v>103830241</v>
      </c>
      <c r="M89" s="33"/>
    </row>
    <row r="90" spans="1:13" ht="409.5" x14ac:dyDescent="0.25">
      <c r="A90" s="7" t="s">
        <v>510</v>
      </c>
      <c r="B90" s="8" t="s">
        <v>473</v>
      </c>
      <c r="C90" s="7" t="s">
        <v>511</v>
      </c>
      <c r="D90" s="7" t="s">
        <v>511</v>
      </c>
      <c r="E90" s="7" t="s">
        <v>512</v>
      </c>
      <c r="F90" s="7" t="s">
        <v>513</v>
      </c>
      <c r="G90" s="7" t="s">
        <v>514</v>
      </c>
      <c r="H90" s="7"/>
      <c r="I90" s="7" t="s">
        <v>155</v>
      </c>
      <c r="J90" s="7" t="s">
        <v>515</v>
      </c>
      <c r="K90" s="7" t="s">
        <v>455</v>
      </c>
      <c r="L90" s="7" t="s">
        <v>516</v>
      </c>
      <c r="M90" s="33"/>
    </row>
    <row r="91" spans="1:13" ht="75" x14ac:dyDescent="0.25">
      <c r="A91" s="7" t="s">
        <v>517</v>
      </c>
      <c r="B91" s="8" t="s">
        <v>451</v>
      </c>
      <c r="C91" s="7" t="s">
        <v>518</v>
      </c>
      <c r="D91" s="7" t="s">
        <v>518</v>
      </c>
      <c r="E91" s="7" t="s">
        <v>519</v>
      </c>
      <c r="F91" s="7"/>
      <c r="G91" s="7"/>
      <c r="H91" s="7"/>
      <c r="I91" s="7" t="s">
        <v>155</v>
      </c>
      <c r="J91" s="7" t="s">
        <v>520</v>
      </c>
      <c r="K91" s="7" t="s">
        <v>455</v>
      </c>
      <c r="L91" s="7" t="s">
        <v>521</v>
      </c>
      <c r="M91" s="33"/>
    </row>
    <row r="92" spans="1:13" ht="75" x14ac:dyDescent="0.25">
      <c r="A92" s="7" t="s">
        <v>522</v>
      </c>
      <c r="B92" s="8" t="s">
        <v>503</v>
      </c>
      <c r="C92" s="7" t="s">
        <v>523</v>
      </c>
      <c r="D92" s="7">
        <v>502113718</v>
      </c>
      <c r="E92" s="7" t="s">
        <v>524</v>
      </c>
      <c r="F92" s="7"/>
      <c r="G92" s="7"/>
      <c r="H92" s="7"/>
      <c r="I92" s="7"/>
      <c r="J92" s="7" t="s">
        <v>525</v>
      </c>
      <c r="K92" s="7" t="s">
        <v>455</v>
      </c>
      <c r="L92" s="7" t="s">
        <v>526</v>
      </c>
      <c r="M92" s="33"/>
    </row>
    <row r="93" spans="1:13" ht="240" x14ac:dyDescent="0.25">
      <c r="A93" s="7" t="s">
        <v>527</v>
      </c>
      <c r="B93" s="8" t="s">
        <v>473</v>
      </c>
      <c r="C93" s="7" t="s">
        <v>528</v>
      </c>
      <c r="D93" s="7">
        <v>103862657</v>
      </c>
      <c r="E93" s="7">
        <v>103863049</v>
      </c>
      <c r="F93" s="7" t="s">
        <v>529</v>
      </c>
      <c r="G93" s="7" t="s">
        <v>530</v>
      </c>
      <c r="H93" s="7"/>
      <c r="I93" s="7" t="s">
        <v>155</v>
      </c>
      <c r="J93" s="7" t="s">
        <v>531</v>
      </c>
      <c r="K93" s="7" t="s">
        <v>455</v>
      </c>
      <c r="L93" s="7">
        <v>103550450</v>
      </c>
      <c r="M93" s="33"/>
    </row>
    <row r="94" spans="1:13" ht="45" x14ac:dyDescent="0.25">
      <c r="A94" s="7" t="s">
        <v>532</v>
      </c>
      <c r="B94" s="8" t="s">
        <v>451</v>
      </c>
      <c r="C94" s="7" t="s">
        <v>533</v>
      </c>
      <c r="D94" s="7" t="s">
        <v>533</v>
      </c>
      <c r="E94" s="7" t="s">
        <v>534</v>
      </c>
      <c r="F94" s="7"/>
      <c r="G94" s="7"/>
      <c r="H94" s="7"/>
      <c r="I94" s="7" t="s">
        <v>155</v>
      </c>
      <c r="J94" s="7" t="s">
        <v>535</v>
      </c>
      <c r="K94" s="7" t="s">
        <v>455</v>
      </c>
      <c r="L94" s="7" t="s">
        <v>536</v>
      </c>
      <c r="M94" s="33"/>
    </row>
    <row r="95" spans="1:13" ht="409.5" x14ac:dyDescent="0.25">
      <c r="A95" s="7" t="s">
        <v>537</v>
      </c>
      <c r="B95" s="8" t="s">
        <v>538</v>
      </c>
      <c r="C95" s="7" t="s">
        <v>539</v>
      </c>
      <c r="D95" s="7" t="s">
        <v>539</v>
      </c>
      <c r="E95" s="7" t="s">
        <v>540</v>
      </c>
      <c r="F95" s="21" t="s">
        <v>541</v>
      </c>
      <c r="G95" s="21"/>
      <c r="H95" s="21"/>
      <c r="I95" s="21"/>
      <c r="J95" s="7" t="s">
        <v>542</v>
      </c>
      <c r="K95" s="7" t="s">
        <v>455</v>
      </c>
      <c r="L95" s="7">
        <v>103551212</v>
      </c>
      <c r="M95" s="22"/>
    </row>
    <row r="96" spans="1:13" ht="75" x14ac:dyDescent="0.25">
      <c r="A96" s="7" t="s">
        <v>543</v>
      </c>
      <c r="B96" s="8" t="s">
        <v>473</v>
      </c>
      <c r="C96" s="7" t="s">
        <v>544</v>
      </c>
      <c r="D96" s="7" t="s">
        <v>544</v>
      </c>
      <c r="E96" s="7" t="s">
        <v>545</v>
      </c>
      <c r="F96" s="7" t="s">
        <v>546</v>
      </c>
      <c r="G96" s="7"/>
      <c r="H96" s="7"/>
      <c r="I96" s="7" t="s">
        <v>155</v>
      </c>
      <c r="J96" s="7" t="s">
        <v>547</v>
      </c>
      <c r="K96" s="7" t="s">
        <v>455</v>
      </c>
      <c r="L96" s="7">
        <v>103570834</v>
      </c>
      <c r="M96" s="22"/>
    </row>
    <row r="97" spans="1:13" ht="135" x14ac:dyDescent="0.25">
      <c r="A97" s="18" t="s">
        <v>543</v>
      </c>
      <c r="B97" s="34" t="s">
        <v>473</v>
      </c>
      <c r="C97" s="18" t="s">
        <v>548</v>
      </c>
      <c r="D97" s="18" t="s">
        <v>548</v>
      </c>
      <c r="E97" s="18" t="s">
        <v>549</v>
      </c>
      <c r="F97" s="18" t="s">
        <v>550</v>
      </c>
      <c r="G97" s="18"/>
      <c r="H97" s="18"/>
      <c r="I97" s="18" t="s">
        <v>155</v>
      </c>
      <c r="J97" s="18" t="s">
        <v>551</v>
      </c>
      <c r="K97" s="18" t="s">
        <v>455</v>
      </c>
      <c r="L97" s="18">
        <v>103570834</v>
      </c>
      <c r="M97" s="33"/>
    </row>
    <row r="98" spans="1:13" ht="57" x14ac:dyDescent="0.25">
      <c r="A98" s="7" t="s">
        <v>552</v>
      </c>
      <c r="B98" s="8" t="s">
        <v>473</v>
      </c>
      <c r="C98" s="7" t="s">
        <v>553</v>
      </c>
      <c r="D98" s="7" t="s">
        <v>553</v>
      </c>
      <c r="E98" s="7" t="s">
        <v>554</v>
      </c>
      <c r="F98" s="61" t="s">
        <v>555</v>
      </c>
      <c r="G98" s="35"/>
      <c r="H98" s="35"/>
      <c r="I98" s="7" t="s">
        <v>155</v>
      </c>
      <c r="J98" s="40" t="s">
        <v>556</v>
      </c>
      <c r="K98" s="7" t="s">
        <v>455</v>
      </c>
      <c r="L98" s="10">
        <v>103551212</v>
      </c>
      <c r="M98" s="35"/>
    </row>
    <row r="99" spans="1:13" ht="75" x14ac:dyDescent="0.25">
      <c r="A99" s="36" t="s">
        <v>552</v>
      </c>
      <c r="B99" s="37" t="s">
        <v>473</v>
      </c>
      <c r="C99" s="36" t="s">
        <v>557</v>
      </c>
      <c r="D99" s="36" t="s">
        <v>557</v>
      </c>
      <c r="E99" s="36" t="s">
        <v>558</v>
      </c>
      <c r="F99" s="36"/>
      <c r="G99" s="36"/>
      <c r="H99" s="36"/>
      <c r="I99" s="18" t="s">
        <v>155</v>
      </c>
      <c r="J99" s="41" t="s">
        <v>559</v>
      </c>
      <c r="K99" s="18" t="s">
        <v>455</v>
      </c>
      <c r="L99" s="10" t="s">
        <v>560</v>
      </c>
      <c r="M99" s="42"/>
    </row>
    <row r="100" spans="1:13" ht="105" x14ac:dyDescent="0.25">
      <c r="A100" s="7" t="s">
        <v>561</v>
      </c>
      <c r="B100" s="8" t="s">
        <v>473</v>
      </c>
      <c r="C100" s="7" t="s">
        <v>562</v>
      </c>
      <c r="D100" s="7" t="s">
        <v>562</v>
      </c>
      <c r="E100" s="7" t="s">
        <v>835</v>
      </c>
      <c r="F100" s="7" t="s">
        <v>837</v>
      </c>
      <c r="G100" s="7" t="s">
        <v>836</v>
      </c>
      <c r="H100" s="7"/>
      <c r="I100" s="7" t="s">
        <v>155</v>
      </c>
      <c r="J100" s="7" t="s">
        <v>563</v>
      </c>
      <c r="K100" s="7" t="s">
        <v>455</v>
      </c>
      <c r="L100" s="7">
        <v>103561987</v>
      </c>
      <c r="M100" s="22"/>
    </row>
    <row r="101" spans="1:13" ht="30" x14ac:dyDescent="0.25">
      <c r="A101" s="7" t="s">
        <v>564</v>
      </c>
      <c r="B101" s="8" t="s">
        <v>473</v>
      </c>
      <c r="C101" s="7" t="s">
        <v>565</v>
      </c>
      <c r="D101" s="7" t="s">
        <v>565</v>
      </c>
      <c r="E101" s="7" t="s">
        <v>566</v>
      </c>
      <c r="F101" s="53" t="s">
        <v>567</v>
      </c>
      <c r="G101" s="53"/>
      <c r="H101" s="53"/>
      <c r="I101" s="7" t="s">
        <v>155</v>
      </c>
      <c r="J101" s="46" t="s">
        <v>568</v>
      </c>
      <c r="K101" s="7" t="s">
        <v>455</v>
      </c>
      <c r="L101" s="7">
        <v>103570836</v>
      </c>
      <c r="M101" s="22"/>
    </row>
    <row r="102" spans="1:13" ht="30" x14ac:dyDescent="0.25">
      <c r="A102" s="21" t="s">
        <v>569</v>
      </c>
      <c r="B102" s="32" t="s">
        <v>473</v>
      </c>
      <c r="C102" s="21" t="s">
        <v>570</v>
      </c>
      <c r="D102" s="21" t="s">
        <v>570</v>
      </c>
      <c r="E102" s="21" t="s">
        <v>571</v>
      </c>
      <c r="F102" s="7" t="s">
        <v>572</v>
      </c>
      <c r="G102" s="7">
        <v>431001</v>
      </c>
      <c r="H102" s="7"/>
      <c r="I102" s="7" t="s">
        <v>155</v>
      </c>
      <c r="J102" s="7" t="s">
        <v>573</v>
      </c>
      <c r="K102" s="7" t="s">
        <v>455</v>
      </c>
      <c r="L102" s="7">
        <v>103551212</v>
      </c>
      <c r="M102" s="22"/>
    </row>
    <row r="103" spans="1:13" ht="90" x14ac:dyDescent="0.25">
      <c r="A103" s="7" t="s">
        <v>574</v>
      </c>
      <c r="B103" s="33" t="s">
        <v>457</v>
      </c>
      <c r="C103" s="7" t="s">
        <v>575</v>
      </c>
      <c r="D103" s="7" t="s">
        <v>575</v>
      </c>
      <c r="E103" s="7" t="s">
        <v>576</v>
      </c>
      <c r="F103" s="7" t="s">
        <v>577</v>
      </c>
      <c r="G103" s="7"/>
      <c r="H103" s="7"/>
      <c r="I103" s="7" t="s">
        <v>155</v>
      </c>
      <c r="J103" s="7" t="s">
        <v>578</v>
      </c>
      <c r="K103" s="7" t="s">
        <v>455</v>
      </c>
      <c r="L103" s="7"/>
      <c r="M103" s="22"/>
    </row>
    <row r="104" spans="1:13" ht="30" x14ac:dyDescent="0.25">
      <c r="A104" s="7" t="s">
        <v>579</v>
      </c>
      <c r="B104" s="8" t="s">
        <v>22</v>
      </c>
      <c r="C104" s="7" t="s">
        <v>580</v>
      </c>
      <c r="D104" s="7" t="s">
        <v>580</v>
      </c>
      <c r="E104" s="7" t="s">
        <v>869</v>
      </c>
      <c r="F104" s="7" t="s">
        <v>581</v>
      </c>
      <c r="G104" s="7"/>
      <c r="H104" s="70" t="s">
        <v>932</v>
      </c>
      <c r="I104" s="7">
        <v>103717386</v>
      </c>
      <c r="J104" s="7" t="s">
        <v>582</v>
      </c>
      <c r="K104" s="21">
        <v>103730916</v>
      </c>
      <c r="L104" s="21"/>
      <c r="M104" s="22"/>
    </row>
    <row r="105" spans="1:13" ht="375" x14ac:dyDescent="0.25">
      <c r="A105" s="7" t="s">
        <v>583</v>
      </c>
      <c r="B105" s="33" t="s">
        <v>457</v>
      </c>
      <c r="C105" s="7" t="s">
        <v>584</v>
      </c>
      <c r="D105" s="7" t="s">
        <v>584</v>
      </c>
      <c r="E105" s="7" t="s">
        <v>859</v>
      </c>
      <c r="F105" s="7" t="s">
        <v>585</v>
      </c>
      <c r="G105" s="7"/>
      <c r="H105" s="7"/>
      <c r="I105" s="7" t="s">
        <v>155</v>
      </c>
      <c r="J105" s="7" t="s">
        <v>586</v>
      </c>
      <c r="K105" s="7" t="s">
        <v>455</v>
      </c>
      <c r="L105" s="7"/>
      <c r="M105" s="33"/>
    </row>
    <row r="106" spans="1:13" ht="255" x14ac:dyDescent="0.25">
      <c r="A106" s="7" t="s">
        <v>587</v>
      </c>
      <c r="B106" s="33" t="s">
        <v>457</v>
      </c>
      <c r="C106" s="7" t="s">
        <v>588</v>
      </c>
      <c r="D106" s="7" t="s">
        <v>588</v>
      </c>
      <c r="E106" s="7">
        <v>103841600</v>
      </c>
      <c r="F106" s="7" t="s">
        <v>589</v>
      </c>
      <c r="G106" s="7"/>
      <c r="H106" s="7"/>
      <c r="I106" s="7" t="s">
        <v>155</v>
      </c>
      <c r="J106" s="7" t="s">
        <v>590</v>
      </c>
      <c r="K106" s="7" t="s">
        <v>455</v>
      </c>
      <c r="L106" s="7"/>
      <c r="M106" s="22"/>
    </row>
    <row r="107" spans="1:13" ht="30" x14ac:dyDescent="0.25">
      <c r="A107" s="21" t="s">
        <v>591</v>
      </c>
      <c r="B107" s="33" t="s">
        <v>457</v>
      </c>
      <c r="C107" s="32" t="s">
        <v>592</v>
      </c>
      <c r="D107" s="32" t="s">
        <v>592</v>
      </c>
      <c r="E107" s="32" t="s">
        <v>858</v>
      </c>
      <c r="F107" s="21" t="s">
        <v>593</v>
      </c>
      <c r="G107" s="21" t="s">
        <v>843</v>
      </c>
      <c r="H107" s="21"/>
      <c r="I107" s="7" t="s">
        <v>155</v>
      </c>
      <c r="J107" s="21" t="s">
        <v>594</v>
      </c>
      <c r="K107" s="7" t="s">
        <v>455</v>
      </c>
      <c r="L107" s="7"/>
      <c r="M107" s="22"/>
    </row>
    <row r="108" spans="1:13" ht="89.25" x14ac:dyDescent="0.25">
      <c r="A108" s="7" t="s">
        <v>595</v>
      </c>
      <c r="B108" s="33" t="s">
        <v>457</v>
      </c>
      <c r="C108" s="8" t="s">
        <v>596</v>
      </c>
      <c r="D108" s="8" t="s">
        <v>596</v>
      </c>
      <c r="E108" s="8" t="s">
        <v>838</v>
      </c>
      <c r="F108" s="53" t="s">
        <v>597</v>
      </c>
      <c r="G108" s="53" t="s">
        <v>839</v>
      </c>
      <c r="H108" s="53"/>
      <c r="I108" s="7" t="s">
        <v>155</v>
      </c>
      <c r="J108" s="7" t="s">
        <v>598</v>
      </c>
      <c r="K108" s="7" t="s">
        <v>455</v>
      </c>
      <c r="L108" s="7"/>
      <c r="M108" s="33"/>
    </row>
    <row r="109" spans="1:13" ht="210" x14ac:dyDescent="0.25">
      <c r="A109" s="7" t="s">
        <v>599</v>
      </c>
      <c r="B109" s="33" t="s">
        <v>457</v>
      </c>
      <c r="C109" s="8" t="s">
        <v>600</v>
      </c>
      <c r="D109" s="8" t="s">
        <v>600</v>
      </c>
      <c r="E109" s="8" t="s">
        <v>841</v>
      </c>
      <c r="F109" s="7" t="s">
        <v>601</v>
      </c>
      <c r="G109" s="7" t="s">
        <v>840</v>
      </c>
      <c r="H109" s="7"/>
      <c r="I109" s="7" t="s">
        <v>155</v>
      </c>
      <c r="J109" s="7" t="s">
        <v>602</v>
      </c>
      <c r="K109" s="7" t="s">
        <v>455</v>
      </c>
      <c r="L109" s="7"/>
      <c r="M109" s="33"/>
    </row>
    <row r="110" spans="1:13" ht="90" x14ac:dyDescent="0.3">
      <c r="A110" s="7" t="s">
        <v>603</v>
      </c>
      <c r="B110" s="33" t="s">
        <v>457</v>
      </c>
      <c r="C110" s="8" t="s">
        <v>604</v>
      </c>
      <c r="D110" s="8" t="s">
        <v>604</v>
      </c>
      <c r="E110" s="63" t="s">
        <v>605</v>
      </c>
      <c r="F110" s="7"/>
      <c r="G110" s="7"/>
      <c r="H110" s="7"/>
      <c r="I110" s="7" t="s">
        <v>155</v>
      </c>
      <c r="J110" s="7" t="s">
        <v>606</v>
      </c>
      <c r="K110" s="7" t="s">
        <v>455</v>
      </c>
      <c r="L110" s="7"/>
      <c r="M110" s="33"/>
    </row>
    <row r="111" spans="1:13" ht="30" x14ac:dyDescent="0.25">
      <c r="A111" s="7" t="s">
        <v>607</v>
      </c>
      <c r="B111" s="33" t="s">
        <v>457</v>
      </c>
      <c r="C111" s="32" t="s">
        <v>608</v>
      </c>
      <c r="D111" s="32" t="s">
        <v>608</v>
      </c>
      <c r="E111" s="32" t="s">
        <v>857</v>
      </c>
      <c r="F111" s="21"/>
      <c r="G111" s="21"/>
      <c r="H111" s="21"/>
      <c r="I111" s="7" t="s">
        <v>155</v>
      </c>
      <c r="J111" s="7" t="s">
        <v>535</v>
      </c>
      <c r="K111" s="7" t="s">
        <v>455</v>
      </c>
      <c r="L111" s="7"/>
      <c r="M111" s="22"/>
    </row>
    <row r="112" spans="1:13" ht="60" x14ac:dyDescent="0.25">
      <c r="A112" s="21" t="s">
        <v>609</v>
      </c>
      <c r="B112" s="33" t="s">
        <v>457</v>
      </c>
      <c r="C112" s="32" t="s">
        <v>610</v>
      </c>
      <c r="D112" s="32" t="s">
        <v>610</v>
      </c>
      <c r="E112" s="32" t="s">
        <v>856</v>
      </c>
      <c r="F112" s="21"/>
      <c r="G112" s="21"/>
      <c r="H112" s="21"/>
      <c r="I112" s="7" t="s">
        <v>155</v>
      </c>
      <c r="J112" s="21" t="s">
        <v>611</v>
      </c>
      <c r="K112" s="7" t="s">
        <v>455</v>
      </c>
      <c r="L112" s="7"/>
      <c r="M112" s="22"/>
    </row>
    <row r="113" spans="1:13" ht="30" x14ac:dyDescent="0.25">
      <c r="A113" s="21" t="s">
        <v>612</v>
      </c>
      <c r="B113" s="33" t="s">
        <v>457</v>
      </c>
      <c r="C113" s="32" t="s">
        <v>613</v>
      </c>
      <c r="D113" s="32" t="s">
        <v>613</v>
      </c>
      <c r="E113" s="32" t="s">
        <v>855</v>
      </c>
      <c r="F113" s="21" t="s">
        <v>614</v>
      </c>
      <c r="G113" s="21"/>
      <c r="H113" s="21"/>
      <c r="I113" s="7" t="s">
        <v>155</v>
      </c>
      <c r="J113" s="21" t="s">
        <v>615</v>
      </c>
      <c r="K113" s="7" t="s">
        <v>455</v>
      </c>
      <c r="L113" s="7"/>
      <c r="M113" s="22"/>
    </row>
    <row r="114" spans="1:13" ht="30" x14ac:dyDescent="0.25">
      <c r="A114" s="21" t="s">
        <v>609</v>
      </c>
      <c r="B114" s="33" t="s">
        <v>457</v>
      </c>
      <c r="C114" s="32" t="s">
        <v>616</v>
      </c>
      <c r="D114" s="32" t="s">
        <v>616</v>
      </c>
      <c r="E114" s="32" t="s">
        <v>854</v>
      </c>
      <c r="F114" s="21" t="s">
        <v>617</v>
      </c>
      <c r="G114" s="21"/>
      <c r="H114" s="21"/>
      <c r="I114" s="7" t="s">
        <v>155</v>
      </c>
      <c r="J114" s="21" t="s">
        <v>618</v>
      </c>
      <c r="K114" s="7" t="s">
        <v>455</v>
      </c>
      <c r="L114" s="7"/>
      <c r="M114" s="22"/>
    </row>
    <row r="115" spans="1:13" ht="30" x14ac:dyDescent="0.25">
      <c r="A115" s="21" t="s">
        <v>607</v>
      </c>
      <c r="B115" s="33" t="s">
        <v>457</v>
      </c>
      <c r="C115" s="32" t="s">
        <v>619</v>
      </c>
      <c r="D115" s="32" t="s">
        <v>619</v>
      </c>
      <c r="E115" s="21" t="s">
        <v>853</v>
      </c>
      <c r="F115" s="21"/>
      <c r="G115" s="21"/>
      <c r="H115" s="21"/>
      <c r="I115" s="7" t="s">
        <v>155</v>
      </c>
      <c r="J115" s="21" t="s">
        <v>535</v>
      </c>
      <c r="K115" s="7" t="s">
        <v>455</v>
      </c>
      <c r="L115" s="7"/>
      <c r="M115" s="22"/>
    </row>
    <row r="116" spans="1:13" ht="45" x14ac:dyDescent="0.25">
      <c r="A116" s="21" t="s">
        <v>620</v>
      </c>
      <c r="B116" s="32" t="s">
        <v>451</v>
      </c>
      <c r="C116" s="7" t="s">
        <v>621</v>
      </c>
      <c r="D116" s="7">
        <v>501267202</v>
      </c>
      <c r="E116" s="7">
        <v>501923373</v>
      </c>
      <c r="F116" s="21"/>
      <c r="G116" s="21"/>
      <c r="H116" s="21"/>
      <c r="I116" s="7" t="s">
        <v>155</v>
      </c>
      <c r="J116" s="21" t="s">
        <v>622</v>
      </c>
      <c r="K116" s="7" t="s">
        <v>455</v>
      </c>
      <c r="L116" s="7"/>
      <c r="M116" s="22"/>
    </row>
    <row r="117" spans="1:13" ht="30" x14ac:dyDescent="0.25">
      <c r="A117" s="7" t="s">
        <v>623</v>
      </c>
      <c r="B117" s="37" t="s">
        <v>451</v>
      </c>
      <c r="C117" s="7" t="s">
        <v>624</v>
      </c>
      <c r="D117" s="7" t="s">
        <v>624</v>
      </c>
      <c r="E117" s="7" t="s">
        <v>849</v>
      </c>
      <c r="F117" s="7"/>
      <c r="G117" s="18"/>
      <c r="H117" s="18"/>
      <c r="I117" s="18" t="s">
        <v>155</v>
      </c>
      <c r="J117" s="7" t="s">
        <v>535</v>
      </c>
      <c r="K117" s="18" t="s">
        <v>455</v>
      </c>
      <c r="L117" s="18"/>
      <c r="M117" s="7"/>
    </row>
    <row r="118" spans="1:13" ht="360" x14ac:dyDescent="0.25">
      <c r="A118" s="7" t="s">
        <v>517</v>
      </c>
      <c r="B118" s="37" t="s">
        <v>451</v>
      </c>
      <c r="C118" s="7" t="s">
        <v>625</v>
      </c>
      <c r="D118" s="7" t="s">
        <v>625</v>
      </c>
      <c r="E118" s="7" t="s">
        <v>850</v>
      </c>
      <c r="F118" s="7"/>
      <c r="G118" s="7"/>
      <c r="H118" s="18"/>
      <c r="I118" s="18" t="s">
        <v>155</v>
      </c>
      <c r="J118" s="7" t="s">
        <v>626</v>
      </c>
      <c r="K118" s="18" t="s">
        <v>455</v>
      </c>
      <c r="L118" s="18"/>
      <c r="M118" s="7"/>
    </row>
    <row r="119" spans="1:13" ht="30" x14ac:dyDescent="0.25">
      <c r="A119" s="7" t="s">
        <v>627</v>
      </c>
      <c r="B119" s="37" t="s">
        <v>628</v>
      </c>
      <c r="C119" s="7" t="s">
        <v>629</v>
      </c>
      <c r="D119" s="7" t="s">
        <v>629</v>
      </c>
      <c r="E119" s="55" t="s">
        <v>851</v>
      </c>
      <c r="F119" s="65" t="s">
        <v>630</v>
      </c>
      <c r="G119" s="23"/>
      <c r="H119" s="23"/>
      <c r="I119" s="18" t="s">
        <v>155</v>
      </c>
      <c r="J119" s="43" t="s">
        <v>615</v>
      </c>
      <c r="K119" s="18" t="s">
        <v>455</v>
      </c>
      <c r="L119" s="18"/>
      <c r="M119" s="7"/>
    </row>
    <row r="120" spans="1:13" ht="60" x14ac:dyDescent="0.25">
      <c r="A120" s="7" t="s">
        <v>631</v>
      </c>
      <c r="B120" s="8" t="s">
        <v>473</v>
      </c>
      <c r="C120" s="7" t="s">
        <v>632</v>
      </c>
      <c r="D120" s="7">
        <v>103853836</v>
      </c>
      <c r="E120" s="7">
        <v>103853839</v>
      </c>
      <c r="F120" s="7" t="s">
        <v>633</v>
      </c>
      <c r="G120" s="18"/>
      <c r="H120" s="18"/>
      <c r="I120" s="18" t="s">
        <v>155</v>
      </c>
      <c r="J120" s="7" t="s">
        <v>531</v>
      </c>
      <c r="K120" s="18" t="s">
        <v>455</v>
      </c>
      <c r="L120" s="18"/>
      <c r="M120" s="7"/>
    </row>
    <row r="121" spans="1:13" ht="105" x14ac:dyDescent="0.25">
      <c r="A121" s="7" t="s">
        <v>634</v>
      </c>
      <c r="B121" s="8" t="s">
        <v>473</v>
      </c>
      <c r="C121" s="7" t="s">
        <v>635</v>
      </c>
      <c r="D121" s="7">
        <v>103853842</v>
      </c>
      <c r="E121" s="7">
        <v>103853844</v>
      </c>
      <c r="F121" s="7" t="s">
        <v>636</v>
      </c>
      <c r="G121" s="18"/>
      <c r="H121" s="18"/>
      <c r="I121" s="18" t="s">
        <v>155</v>
      </c>
      <c r="J121" s="7" t="s">
        <v>531</v>
      </c>
      <c r="K121" s="18" t="s">
        <v>455</v>
      </c>
      <c r="L121" s="18"/>
      <c r="M121" s="7"/>
    </row>
    <row r="122" spans="1:13" ht="60" x14ac:dyDescent="0.25">
      <c r="A122" s="7" t="s">
        <v>637</v>
      </c>
      <c r="B122" s="8" t="s">
        <v>473</v>
      </c>
      <c r="C122" s="7" t="s">
        <v>638</v>
      </c>
      <c r="D122" s="7">
        <v>103853789</v>
      </c>
      <c r="E122" s="7">
        <v>103853812</v>
      </c>
      <c r="F122" s="7" t="s">
        <v>639</v>
      </c>
      <c r="G122" s="18" t="s">
        <v>877</v>
      </c>
      <c r="H122" s="18"/>
      <c r="I122" s="18" t="s">
        <v>155</v>
      </c>
      <c r="J122" s="7" t="s">
        <v>531</v>
      </c>
      <c r="K122" s="18" t="s">
        <v>455</v>
      </c>
      <c r="L122" s="18"/>
      <c r="M122" s="7"/>
    </row>
    <row r="123" spans="1:13" ht="60" x14ac:dyDescent="0.25">
      <c r="A123" s="7" t="s">
        <v>640</v>
      </c>
      <c r="B123" s="33" t="s">
        <v>457</v>
      </c>
      <c r="C123" s="7" t="s">
        <v>641</v>
      </c>
      <c r="D123" s="7">
        <v>501069609</v>
      </c>
      <c r="E123" s="7">
        <v>501074477</v>
      </c>
      <c r="F123" s="7" t="s">
        <v>642</v>
      </c>
      <c r="G123" s="18" t="s">
        <v>878</v>
      </c>
      <c r="H123" s="18"/>
      <c r="I123" s="18" t="s">
        <v>155</v>
      </c>
      <c r="J123" s="7" t="s">
        <v>643</v>
      </c>
      <c r="K123" s="18" t="s">
        <v>455</v>
      </c>
      <c r="L123" s="18"/>
      <c r="M123" s="7"/>
    </row>
    <row r="124" spans="1:13" ht="90" x14ac:dyDescent="0.25">
      <c r="A124" s="7" t="s">
        <v>644</v>
      </c>
      <c r="B124" s="8" t="s">
        <v>473</v>
      </c>
      <c r="C124" s="7" t="s">
        <v>645</v>
      </c>
      <c r="D124" s="7">
        <v>501372381</v>
      </c>
      <c r="E124" s="7">
        <v>501144240</v>
      </c>
      <c r="F124" s="7" t="s">
        <v>646</v>
      </c>
      <c r="G124" s="18" t="s">
        <v>861</v>
      </c>
      <c r="H124" s="18"/>
      <c r="I124" s="18" t="s">
        <v>155</v>
      </c>
      <c r="J124" s="7" t="s">
        <v>454</v>
      </c>
      <c r="K124" s="18" t="s">
        <v>455</v>
      </c>
      <c r="L124" s="18"/>
      <c r="M124" s="7"/>
    </row>
    <row r="125" spans="1:13" ht="30" x14ac:dyDescent="0.25">
      <c r="A125" s="7" t="s">
        <v>647</v>
      </c>
      <c r="B125" s="8" t="s">
        <v>473</v>
      </c>
      <c r="C125" s="7" t="s">
        <v>648</v>
      </c>
      <c r="D125" s="7">
        <v>103850317</v>
      </c>
      <c r="E125" s="52">
        <v>103850318</v>
      </c>
      <c r="F125" s="56" t="s">
        <v>649</v>
      </c>
      <c r="G125" s="56"/>
      <c r="H125" s="56"/>
      <c r="I125" s="18" t="s">
        <v>155</v>
      </c>
      <c r="J125" s="7" t="s">
        <v>650</v>
      </c>
      <c r="K125" s="18" t="s">
        <v>455</v>
      </c>
      <c r="L125" s="18"/>
      <c r="M125" s="7"/>
    </row>
    <row r="126" spans="1:13" ht="75" x14ac:dyDescent="0.25">
      <c r="A126" s="7" t="s">
        <v>651</v>
      </c>
      <c r="B126" s="8" t="s">
        <v>473</v>
      </c>
      <c r="C126" s="7" t="s">
        <v>652</v>
      </c>
      <c r="D126" s="7">
        <v>501008937</v>
      </c>
      <c r="E126" s="7">
        <v>501007182</v>
      </c>
      <c r="F126" s="7" t="s">
        <v>653</v>
      </c>
      <c r="G126" s="18" t="s">
        <v>864</v>
      </c>
      <c r="H126" s="18"/>
      <c r="I126" s="18" t="s">
        <v>155</v>
      </c>
      <c r="J126" s="7" t="s">
        <v>454</v>
      </c>
      <c r="K126" s="18" t="s">
        <v>455</v>
      </c>
      <c r="L126" s="18"/>
      <c r="M126" s="7"/>
    </row>
    <row r="127" spans="1:13" ht="255" x14ac:dyDescent="0.25">
      <c r="A127" s="7" t="s">
        <v>654</v>
      </c>
      <c r="B127" s="7" t="s">
        <v>451</v>
      </c>
      <c r="C127" s="7" t="s">
        <v>860</v>
      </c>
      <c r="D127" s="7">
        <v>103853398</v>
      </c>
      <c r="E127" s="7">
        <v>103850422</v>
      </c>
      <c r="F127" s="7" t="s">
        <v>656</v>
      </c>
      <c r="G127" s="7" t="s">
        <v>862</v>
      </c>
      <c r="H127" s="7"/>
      <c r="I127" s="7" t="s">
        <v>155</v>
      </c>
      <c r="J127" s="7" t="s">
        <v>650</v>
      </c>
      <c r="K127" s="7" t="s">
        <v>455</v>
      </c>
      <c r="L127" s="18"/>
      <c r="M127" s="7"/>
    </row>
    <row r="128" spans="1:13" ht="45" x14ac:dyDescent="0.25">
      <c r="A128" s="7" t="s">
        <v>657</v>
      </c>
      <c r="B128" s="8" t="s">
        <v>451</v>
      </c>
      <c r="C128" s="7" t="s">
        <v>655</v>
      </c>
      <c r="D128" s="7">
        <v>501002101</v>
      </c>
      <c r="E128" s="7">
        <v>501007167</v>
      </c>
      <c r="F128" s="7" t="s">
        <v>658</v>
      </c>
      <c r="G128" s="7"/>
      <c r="H128" s="7"/>
      <c r="I128" s="7" t="s">
        <v>155</v>
      </c>
      <c r="J128" s="7" t="s">
        <v>454</v>
      </c>
      <c r="K128" s="7" t="s">
        <v>455</v>
      </c>
      <c r="L128" s="18"/>
      <c r="M128" s="7"/>
    </row>
    <row r="129" spans="1:13" ht="75" x14ac:dyDescent="0.25">
      <c r="A129" s="7" t="s">
        <v>659</v>
      </c>
      <c r="B129" s="8" t="s">
        <v>473</v>
      </c>
      <c r="C129" s="7" t="s">
        <v>660</v>
      </c>
      <c r="D129" s="7">
        <v>501008936</v>
      </c>
      <c r="E129" s="7">
        <v>501007177</v>
      </c>
      <c r="F129" s="7" t="s">
        <v>661</v>
      </c>
      <c r="G129" s="7" t="s">
        <v>863</v>
      </c>
      <c r="H129" s="18"/>
      <c r="I129" s="18" t="s">
        <v>155</v>
      </c>
      <c r="J129" s="7" t="s">
        <v>454</v>
      </c>
      <c r="K129" s="18" t="s">
        <v>455</v>
      </c>
      <c r="L129" s="18"/>
      <c r="M129" s="7"/>
    </row>
    <row r="130" spans="1:13" ht="30" x14ac:dyDescent="0.25">
      <c r="A130" s="7" t="s">
        <v>662</v>
      </c>
      <c r="B130" s="33" t="s">
        <v>457</v>
      </c>
      <c r="C130" s="7" t="s">
        <v>663</v>
      </c>
      <c r="D130" s="7">
        <v>501034642</v>
      </c>
      <c r="E130" s="7">
        <v>501034643</v>
      </c>
      <c r="F130" s="7" t="s">
        <v>664</v>
      </c>
      <c r="G130" s="7"/>
      <c r="H130" s="7"/>
      <c r="I130" s="7" t="s">
        <v>155</v>
      </c>
      <c r="J130" s="7" t="s">
        <v>454</v>
      </c>
      <c r="K130" s="7" t="s">
        <v>455</v>
      </c>
      <c r="L130" s="7"/>
      <c r="M130" s="7"/>
    </row>
    <row r="131" spans="1:13" ht="30" x14ac:dyDescent="0.25">
      <c r="A131" s="21" t="s">
        <v>665</v>
      </c>
      <c r="B131" s="32" t="s">
        <v>628</v>
      </c>
      <c r="C131" s="21" t="s">
        <v>666</v>
      </c>
      <c r="D131" s="21">
        <v>103865294</v>
      </c>
      <c r="E131" s="21">
        <v>103865296</v>
      </c>
      <c r="F131" s="21" t="s">
        <v>667</v>
      </c>
      <c r="G131" s="21"/>
      <c r="H131" s="21"/>
      <c r="I131" s="7" t="s">
        <v>155</v>
      </c>
      <c r="J131" s="21" t="s">
        <v>668</v>
      </c>
      <c r="K131" s="7" t="s">
        <v>455</v>
      </c>
      <c r="L131" s="7"/>
      <c r="M131" s="22"/>
    </row>
    <row r="132" spans="1:13" ht="30" x14ac:dyDescent="0.25">
      <c r="A132" s="21" t="s">
        <v>669</v>
      </c>
      <c r="B132" s="32" t="s">
        <v>457</v>
      </c>
      <c r="C132" s="21" t="s">
        <v>670</v>
      </c>
      <c r="D132" s="21">
        <v>103888743</v>
      </c>
      <c r="E132" s="21">
        <v>103888745</v>
      </c>
      <c r="F132" s="21" t="s">
        <v>671</v>
      </c>
      <c r="G132" s="21"/>
      <c r="H132" s="21"/>
      <c r="I132" s="7" t="s">
        <v>155</v>
      </c>
      <c r="J132" s="21" t="s">
        <v>672</v>
      </c>
      <c r="K132" s="7" t="s">
        <v>455</v>
      </c>
      <c r="L132" s="7"/>
      <c r="M132" s="22"/>
    </row>
    <row r="133" spans="1:13" ht="75" x14ac:dyDescent="0.25">
      <c r="A133" s="21" t="s">
        <v>673</v>
      </c>
      <c r="B133" s="32" t="s">
        <v>473</v>
      </c>
      <c r="C133" s="21" t="s">
        <v>674</v>
      </c>
      <c r="D133" s="21">
        <v>103853829</v>
      </c>
      <c r="E133" s="21">
        <v>103853834</v>
      </c>
      <c r="F133" s="21" t="s">
        <v>675</v>
      </c>
      <c r="G133" s="21"/>
      <c r="H133" s="21"/>
      <c r="I133" s="7" t="s">
        <v>155</v>
      </c>
      <c r="J133" s="21" t="s">
        <v>531</v>
      </c>
      <c r="K133" s="7" t="s">
        <v>455</v>
      </c>
      <c r="L133" s="7"/>
      <c r="M133" s="22"/>
    </row>
    <row r="134" spans="1:13" ht="105" x14ac:dyDescent="0.25">
      <c r="A134" s="21" t="s">
        <v>676</v>
      </c>
      <c r="B134" s="32" t="s">
        <v>457</v>
      </c>
      <c r="C134" s="21" t="s">
        <v>677</v>
      </c>
      <c r="D134" s="21">
        <v>501069992</v>
      </c>
      <c r="E134" s="21">
        <v>501069372</v>
      </c>
      <c r="F134" s="21" t="s">
        <v>678</v>
      </c>
      <c r="G134" s="21" t="s">
        <v>879</v>
      </c>
      <c r="H134" s="21"/>
      <c r="I134" s="7" t="s">
        <v>155</v>
      </c>
      <c r="J134" s="21" t="s">
        <v>650</v>
      </c>
      <c r="K134" s="7" t="s">
        <v>455</v>
      </c>
      <c r="L134" s="7"/>
      <c r="M134" s="22"/>
    </row>
    <row r="135" spans="1:13" ht="30" x14ac:dyDescent="0.25">
      <c r="A135" s="21" t="s">
        <v>679</v>
      </c>
      <c r="B135" s="32" t="s">
        <v>473</v>
      </c>
      <c r="C135" s="21" t="s">
        <v>680</v>
      </c>
      <c r="D135" s="21">
        <v>103727190</v>
      </c>
      <c r="E135" s="21">
        <v>103749419</v>
      </c>
      <c r="F135" s="21" t="s">
        <v>681</v>
      </c>
      <c r="G135" s="21"/>
      <c r="H135" s="21"/>
      <c r="I135" s="7" t="s">
        <v>155</v>
      </c>
      <c r="J135" s="21" t="s">
        <v>682</v>
      </c>
      <c r="K135" s="7" t="s">
        <v>455</v>
      </c>
      <c r="L135" s="7"/>
      <c r="M135" s="22"/>
    </row>
    <row r="136" spans="1:13" ht="45" x14ac:dyDescent="0.25">
      <c r="A136" s="21" t="s">
        <v>683</v>
      </c>
      <c r="B136" s="32" t="s">
        <v>473</v>
      </c>
      <c r="C136" s="21" t="s">
        <v>684</v>
      </c>
      <c r="D136" s="21">
        <v>103864369</v>
      </c>
      <c r="E136" s="21">
        <v>103864371</v>
      </c>
      <c r="F136" s="21" t="s">
        <v>685</v>
      </c>
      <c r="G136" s="21" t="s">
        <v>880</v>
      </c>
      <c r="H136" s="21"/>
      <c r="I136" s="7" t="s">
        <v>155</v>
      </c>
      <c r="J136" s="21" t="s">
        <v>531</v>
      </c>
      <c r="K136" s="7" t="s">
        <v>455</v>
      </c>
      <c r="L136" s="21">
        <v>103579449</v>
      </c>
      <c r="M136" s="22"/>
    </row>
    <row r="137" spans="1:13" ht="105" x14ac:dyDescent="0.25">
      <c r="A137" s="21" t="s">
        <v>686</v>
      </c>
      <c r="B137" s="32" t="s">
        <v>473</v>
      </c>
      <c r="C137" s="21" t="s">
        <v>687</v>
      </c>
      <c r="D137" s="21">
        <v>103868096</v>
      </c>
      <c r="E137" s="21">
        <v>103868099</v>
      </c>
      <c r="F137" s="21" t="s">
        <v>688</v>
      </c>
      <c r="G137" s="21"/>
      <c r="H137" s="21"/>
      <c r="I137" s="7" t="s">
        <v>155</v>
      </c>
      <c r="J137" s="21" t="s">
        <v>650</v>
      </c>
      <c r="K137" s="7" t="s">
        <v>455</v>
      </c>
      <c r="L137" s="21">
        <v>103579449</v>
      </c>
      <c r="M137" s="22"/>
    </row>
    <row r="138" spans="1:13" ht="75" x14ac:dyDescent="0.25">
      <c r="A138" s="21" t="s">
        <v>689</v>
      </c>
      <c r="B138" s="32" t="s">
        <v>457</v>
      </c>
      <c r="C138" s="21" t="s">
        <v>690</v>
      </c>
      <c r="D138" s="21">
        <v>103888737</v>
      </c>
      <c r="E138" s="21">
        <v>103888739</v>
      </c>
      <c r="F138" s="21" t="s">
        <v>691</v>
      </c>
      <c r="G138" s="21"/>
      <c r="H138" s="21"/>
      <c r="I138" s="7" t="s">
        <v>155</v>
      </c>
      <c r="J138" s="21" t="s">
        <v>650</v>
      </c>
      <c r="K138" s="7" t="s">
        <v>455</v>
      </c>
      <c r="L138" s="21">
        <v>103358457</v>
      </c>
      <c r="M138" s="22"/>
    </row>
    <row r="139" spans="1:13" ht="45" x14ac:dyDescent="0.25">
      <c r="A139" s="7" t="s">
        <v>692</v>
      </c>
      <c r="B139" s="8" t="s">
        <v>473</v>
      </c>
      <c r="C139" s="7" t="s">
        <v>693</v>
      </c>
      <c r="D139" s="7">
        <v>103864610</v>
      </c>
      <c r="E139" s="7">
        <v>103864612</v>
      </c>
      <c r="F139" s="7" t="s">
        <v>694</v>
      </c>
      <c r="G139" s="7"/>
      <c r="H139" s="7"/>
      <c r="I139" s="7" t="s">
        <v>155</v>
      </c>
      <c r="J139" s="7" t="s">
        <v>531</v>
      </c>
      <c r="K139" s="7" t="s">
        <v>455</v>
      </c>
      <c r="L139" s="7">
        <v>103579449</v>
      </c>
      <c r="M139" s="33"/>
    </row>
    <row r="140" spans="1:13" ht="45" x14ac:dyDescent="0.25">
      <c r="A140" s="7" t="s">
        <v>695</v>
      </c>
      <c r="B140" s="8" t="s">
        <v>473</v>
      </c>
      <c r="C140" s="7" t="s">
        <v>696</v>
      </c>
      <c r="D140" s="7">
        <v>103864385</v>
      </c>
      <c r="E140" s="7">
        <v>103864397</v>
      </c>
      <c r="F140" s="7"/>
      <c r="G140" s="7"/>
      <c r="H140" s="7"/>
      <c r="I140" s="7" t="s">
        <v>155</v>
      </c>
      <c r="J140" s="7" t="s">
        <v>531</v>
      </c>
      <c r="K140" s="7" t="s">
        <v>455</v>
      </c>
      <c r="L140" s="7">
        <v>103579449</v>
      </c>
      <c r="M140" s="33"/>
    </row>
    <row r="141" spans="1:13" ht="45" x14ac:dyDescent="0.25">
      <c r="A141" s="7" t="s">
        <v>697</v>
      </c>
      <c r="B141" s="8" t="s">
        <v>473</v>
      </c>
      <c r="C141" s="7" t="s">
        <v>698</v>
      </c>
      <c r="D141" s="7">
        <v>103757014</v>
      </c>
      <c r="E141" s="7">
        <v>103863584</v>
      </c>
      <c r="F141" s="7"/>
      <c r="G141" s="7"/>
      <c r="H141" s="7"/>
      <c r="I141" s="7" t="s">
        <v>155</v>
      </c>
      <c r="J141" s="7" t="s">
        <v>531</v>
      </c>
      <c r="K141" s="7" t="s">
        <v>455</v>
      </c>
      <c r="L141" s="7">
        <v>103579449</v>
      </c>
      <c r="M141" s="33"/>
    </row>
    <row r="142" spans="1:13" ht="45" x14ac:dyDescent="0.25">
      <c r="A142" s="21" t="s">
        <v>699</v>
      </c>
      <c r="B142" s="8" t="s">
        <v>473</v>
      </c>
      <c r="C142" s="21" t="s">
        <v>700</v>
      </c>
      <c r="D142" s="21">
        <v>103864614</v>
      </c>
      <c r="E142" s="21">
        <v>103864616</v>
      </c>
      <c r="F142" s="21" t="s">
        <v>701</v>
      </c>
      <c r="G142" s="21"/>
      <c r="H142" s="21"/>
      <c r="I142" s="7" t="s">
        <v>155</v>
      </c>
      <c r="J142" s="7" t="s">
        <v>531</v>
      </c>
      <c r="K142" s="7" t="s">
        <v>455</v>
      </c>
      <c r="L142" s="21">
        <v>103579449</v>
      </c>
      <c r="M142" s="22"/>
    </row>
    <row r="143" spans="1:13" ht="45" x14ac:dyDescent="0.25">
      <c r="A143" s="21" t="s">
        <v>702</v>
      </c>
      <c r="B143" s="8" t="s">
        <v>451</v>
      </c>
      <c r="C143" s="21" t="s">
        <v>703</v>
      </c>
      <c r="D143" s="21">
        <v>103868104</v>
      </c>
      <c r="E143" s="21">
        <v>103868110</v>
      </c>
      <c r="F143" s="21" t="s">
        <v>704</v>
      </c>
      <c r="G143" s="21"/>
      <c r="H143" s="21"/>
      <c r="I143" s="7" t="s">
        <v>155</v>
      </c>
      <c r="J143" s="21" t="s">
        <v>454</v>
      </c>
      <c r="K143" s="7" t="s">
        <v>455</v>
      </c>
      <c r="L143" s="21">
        <v>103579449</v>
      </c>
      <c r="M143" s="22"/>
    </row>
    <row r="144" spans="1:13" ht="30" x14ac:dyDescent="0.25">
      <c r="A144" s="21" t="s">
        <v>705</v>
      </c>
      <c r="B144" s="32" t="s">
        <v>706</v>
      </c>
      <c r="C144" s="21" t="s">
        <v>707</v>
      </c>
      <c r="D144" s="21" t="s">
        <v>707</v>
      </c>
      <c r="E144" s="21" t="s">
        <v>875</v>
      </c>
      <c r="F144" s="21" t="s">
        <v>708</v>
      </c>
      <c r="G144" s="21" t="s">
        <v>876</v>
      </c>
      <c r="H144" s="70" t="s">
        <v>933</v>
      </c>
      <c r="I144" s="21">
        <v>103907755</v>
      </c>
      <c r="J144" s="21" t="s">
        <v>709</v>
      </c>
      <c r="K144" s="21" t="s">
        <v>155</v>
      </c>
      <c r="L144" s="21">
        <v>103565200</v>
      </c>
      <c r="M144" s="22"/>
    </row>
    <row r="145" spans="1:13" ht="30" x14ac:dyDescent="0.25">
      <c r="A145" s="21" t="s">
        <v>710</v>
      </c>
      <c r="B145" s="32" t="s">
        <v>706</v>
      </c>
      <c r="C145" s="21" t="s">
        <v>711</v>
      </c>
      <c r="D145" s="21" t="s">
        <v>711</v>
      </c>
      <c r="E145" s="21" t="s">
        <v>868</v>
      </c>
      <c r="F145" s="21"/>
      <c r="G145" s="21"/>
      <c r="H145" s="70" t="s">
        <v>934</v>
      </c>
      <c r="I145" s="40">
        <v>501162761</v>
      </c>
      <c r="J145" s="40" t="s">
        <v>712</v>
      </c>
      <c r="K145" s="21" t="s">
        <v>713</v>
      </c>
      <c r="L145" s="21">
        <v>103515163</v>
      </c>
      <c r="M145" s="22"/>
    </row>
    <row r="146" spans="1:13" ht="120" x14ac:dyDescent="0.25">
      <c r="A146" s="7" t="s">
        <v>714</v>
      </c>
      <c r="B146" s="7" t="s">
        <v>706</v>
      </c>
      <c r="C146" s="7" t="s">
        <v>715</v>
      </c>
      <c r="D146" s="7" t="s">
        <v>715</v>
      </c>
      <c r="E146" s="7"/>
      <c r="F146" s="7"/>
      <c r="G146" s="7"/>
      <c r="H146" s="70" t="s">
        <v>935</v>
      </c>
      <c r="I146" s="7">
        <v>501162760</v>
      </c>
      <c r="J146" s="7" t="s">
        <v>716</v>
      </c>
      <c r="K146" s="7" t="s">
        <v>717</v>
      </c>
      <c r="L146" s="7">
        <v>103469033</v>
      </c>
      <c r="M146" s="7"/>
    </row>
    <row r="147" spans="1:13" ht="30" x14ac:dyDescent="0.25">
      <c r="A147" s="21" t="s">
        <v>718</v>
      </c>
      <c r="B147" s="32" t="s">
        <v>719</v>
      </c>
      <c r="C147" s="21" t="s">
        <v>720</v>
      </c>
      <c r="D147" s="21">
        <v>103853840</v>
      </c>
      <c r="E147" s="21">
        <v>103853841</v>
      </c>
      <c r="F147" s="21"/>
      <c r="G147" s="21"/>
      <c r="H147" s="21"/>
      <c r="I147" s="7" t="s">
        <v>155</v>
      </c>
      <c r="J147" s="21" t="s">
        <v>721</v>
      </c>
      <c r="K147" s="21" t="s">
        <v>455</v>
      </c>
      <c r="L147" s="21">
        <v>103717337</v>
      </c>
      <c r="M147" s="22"/>
    </row>
    <row r="148" spans="1:13" ht="30" x14ac:dyDescent="0.25">
      <c r="A148" s="21" t="s">
        <v>722</v>
      </c>
      <c r="B148" s="8" t="s">
        <v>451</v>
      </c>
      <c r="C148" s="21" t="s">
        <v>723</v>
      </c>
      <c r="D148" s="21">
        <v>103870332</v>
      </c>
      <c r="E148" s="21">
        <v>103870335</v>
      </c>
      <c r="F148" s="21" t="s">
        <v>724</v>
      </c>
      <c r="G148" s="21"/>
      <c r="H148" s="21"/>
      <c r="I148" s="21"/>
      <c r="J148" s="21" t="s">
        <v>725</v>
      </c>
      <c r="K148" s="21" t="s">
        <v>455</v>
      </c>
      <c r="L148" s="21">
        <v>103579449</v>
      </c>
      <c r="M148" s="22"/>
    </row>
    <row r="149" spans="1:13" ht="105" x14ac:dyDescent="0.25">
      <c r="A149" s="7" t="s">
        <v>726</v>
      </c>
      <c r="B149" s="8" t="s">
        <v>473</v>
      </c>
      <c r="C149" s="7" t="s">
        <v>727</v>
      </c>
      <c r="D149" s="7">
        <v>103862637</v>
      </c>
      <c r="E149" s="7">
        <v>103863004</v>
      </c>
      <c r="F149" s="7" t="s">
        <v>728</v>
      </c>
      <c r="G149" s="7"/>
      <c r="H149" s="7"/>
      <c r="I149" s="7"/>
      <c r="J149" s="7" t="s">
        <v>729</v>
      </c>
      <c r="K149" s="21" t="s">
        <v>455</v>
      </c>
      <c r="L149" s="7">
        <v>103550454</v>
      </c>
      <c r="M149" s="33"/>
    </row>
    <row r="150" spans="1:13" ht="45" x14ac:dyDescent="0.25">
      <c r="A150" s="7" t="s">
        <v>730</v>
      </c>
      <c r="B150" s="8" t="s">
        <v>473</v>
      </c>
      <c r="C150" s="7" t="s">
        <v>731</v>
      </c>
      <c r="D150" s="7">
        <v>103862607</v>
      </c>
      <c r="E150" s="7">
        <v>103862874</v>
      </c>
      <c r="F150" s="7" t="s">
        <v>732</v>
      </c>
      <c r="G150" s="7"/>
      <c r="H150" s="7"/>
      <c r="I150" s="7"/>
      <c r="J150" s="7" t="s">
        <v>733</v>
      </c>
      <c r="K150" s="21" t="s">
        <v>455</v>
      </c>
      <c r="L150" s="7">
        <v>103550454</v>
      </c>
      <c r="M150" s="33"/>
    </row>
    <row r="151" spans="1:13" ht="30" x14ac:dyDescent="0.25">
      <c r="A151" s="21" t="s">
        <v>734</v>
      </c>
      <c r="B151" s="32" t="s">
        <v>457</v>
      </c>
      <c r="C151" s="21" t="s">
        <v>735</v>
      </c>
      <c r="D151" s="21">
        <v>500992214</v>
      </c>
      <c r="E151" s="21">
        <v>501069210</v>
      </c>
      <c r="F151" s="21" t="s">
        <v>736</v>
      </c>
      <c r="G151" s="21"/>
      <c r="H151" s="21"/>
      <c r="I151" s="21"/>
      <c r="J151" s="21" t="s">
        <v>737</v>
      </c>
      <c r="K151" s="21" t="s">
        <v>455</v>
      </c>
      <c r="L151" s="21">
        <v>103575919</v>
      </c>
      <c r="M151" s="22"/>
    </row>
    <row r="152" spans="1:13" ht="30" x14ac:dyDescent="0.25">
      <c r="A152" s="21" t="s">
        <v>738</v>
      </c>
      <c r="B152" s="32" t="s">
        <v>457</v>
      </c>
      <c r="C152" s="21" t="s">
        <v>739</v>
      </c>
      <c r="D152" s="21">
        <v>501069246</v>
      </c>
      <c r="E152" s="21">
        <v>501069292</v>
      </c>
      <c r="F152" s="21" t="s">
        <v>740</v>
      </c>
      <c r="G152" s="21"/>
      <c r="H152" s="21"/>
      <c r="I152" s="21"/>
      <c r="J152" s="21" t="s">
        <v>741</v>
      </c>
      <c r="K152" s="21" t="s">
        <v>455</v>
      </c>
      <c r="L152" s="21">
        <v>103575919</v>
      </c>
      <c r="M152" s="22"/>
    </row>
    <row r="153" spans="1:13" ht="90" x14ac:dyDescent="0.25">
      <c r="A153" s="21" t="s">
        <v>742</v>
      </c>
      <c r="B153" s="8" t="s">
        <v>473</v>
      </c>
      <c r="C153" s="21" t="s">
        <v>743</v>
      </c>
      <c r="D153" s="21">
        <v>103853816</v>
      </c>
      <c r="E153" s="21">
        <v>103853819</v>
      </c>
      <c r="F153" s="21" t="s">
        <v>744</v>
      </c>
      <c r="G153" s="21"/>
      <c r="H153" s="21"/>
      <c r="I153" s="21"/>
      <c r="J153" s="21" t="s">
        <v>745</v>
      </c>
      <c r="K153" s="21" t="s">
        <v>455</v>
      </c>
      <c r="L153" s="21">
        <v>103720428</v>
      </c>
      <c r="M153" s="22"/>
    </row>
    <row r="154" spans="1:13" ht="45" x14ac:dyDescent="0.25">
      <c r="A154" s="21" t="s">
        <v>746</v>
      </c>
      <c r="B154" s="8" t="s">
        <v>473</v>
      </c>
      <c r="C154" s="21" t="s">
        <v>747</v>
      </c>
      <c r="D154" s="21">
        <v>103853727</v>
      </c>
      <c r="E154" s="21">
        <v>103853854</v>
      </c>
      <c r="F154" s="21" t="s">
        <v>748</v>
      </c>
      <c r="G154" s="21"/>
      <c r="H154" s="21"/>
      <c r="I154" s="21"/>
      <c r="J154" s="21" t="s">
        <v>745</v>
      </c>
      <c r="K154" s="21" t="s">
        <v>455</v>
      </c>
      <c r="L154" s="21">
        <v>103550450</v>
      </c>
      <c r="M154" s="22"/>
    </row>
    <row r="155" spans="1:13" ht="77.25" x14ac:dyDescent="0.25">
      <c r="A155" s="21" t="s">
        <v>749</v>
      </c>
      <c r="B155" s="32" t="s">
        <v>457</v>
      </c>
      <c r="C155" s="21" t="s">
        <v>750</v>
      </c>
      <c r="D155" s="21">
        <v>501082989</v>
      </c>
      <c r="E155" s="21">
        <v>501097272</v>
      </c>
      <c r="F155" s="67" t="s">
        <v>751</v>
      </c>
      <c r="G155" s="66" t="s">
        <v>866</v>
      </c>
      <c r="H155" s="66"/>
      <c r="I155" s="21"/>
      <c r="J155" s="21" t="s">
        <v>752</v>
      </c>
      <c r="K155" s="21" t="s">
        <v>455</v>
      </c>
      <c r="L155" s="24">
        <v>103358457</v>
      </c>
      <c r="M155" s="22"/>
    </row>
    <row r="156" spans="1:13" ht="135" x14ac:dyDescent="0.25">
      <c r="A156" s="7" t="s">
        <v>753</v>
      </c>
      <c r="B156" s="8" t="s">
        <v>457</v>
      </c>
      <c r="C156" s="7" t="s">
        <v>754</v>
      </c>
      <c r="D156" s="7">
        <v>502249060</v>
      </c>
      <c r="E156" s="7">
        <v>502250093</v>
      </c>
      <c r="F156" s="7" t="s">
        <v>755</v>
      </c>
      <c r="G156" s="7" t="s">
        <v>844</v>
      </c>
      <c r="H156" s="7"/>
      <c r="I156" s="7"/>
      <c r="J156" s="7" t="s">
        <v>756</v>
      </c>
      <c r="K156" s="7" t="s">
        <v>455</v>
      </c>
      <c r="L156" s="53">
        <v>103550448</v>
      </c>
      <c r="M156" s="33"/>
    </row>
    <row r="157" spans="1:13" ht="45" x14ac:dyDescent="0.25">
      <c r="A157" s="21" t="s">
        <v>757</v>
      </c>
      <c r="B157" s="32" t="s">
        <v>457</v>
      </c>
      <c r="C157" s="21" t="s">
        <v>758</v>
      </c>
      <c r="D157" s="21">
        <v>501069530</v>
      </c>
      <c r="E157" s="21">
        <v>501069546</v>
      </c>
      <c r="F157" s="21" t="s">
        <v>759</v>
      </c>
      <c r="G157" s="21"/>
      <c r="H157" s="21"/>
      <c r="I157" s="21"/>
      <c r="J157" s="21" t="s">
        <v>760</v>
      </c>
      <c r="K157" s="21" t="s">
        <v>455</v>
      </c>
      <c r="L157" s="21">
        <v>103575919</v>
      </c>
      <c r="M157" s="22"/>
    </row>
    <row r="158" spans="1:13" ht="30" x14ac:dyDescent="0.25">
      <c r="A158" s="21" t="s">
        <v>761</v>
      </c>
      <c r="B158" s="32" t="s">
        <v>762</v>
      </c>
      <c r="C158" s="21" t="s">
        <v>763</v>
      </c>
      <c r="D158" s="21">
        <v>103757009</v>
      </c>
      <c r="E158" s="21">
        <v>103853853</v>
      </c>
      <c r="F158" s="21"/>
      <c r="G158" s="21"/>
      <c r="H158" s="21"/>
      <c r="I158" s="21"/>
      <c r="J158" s="21" t="s">
        <v>764</v>
      </c>
      <c r="K158" s="21" t="s">
        <v>455</v>
      </c>
      <c r="L158" s="21">
        <v>103550454</v>
      </c>
      <c r="M158" s="22"/>
    </row>
    <row r="159" spans="1:13" ht="75" x14ac:dyDescent="0.25">
      <c r="A159" s="7" t="s">
        <v>765</v>
      </c>
      <c r="B159" s="47" t="s">
        <v>766</v>
      </c>
      <c r="C159" s="7" t="s">
        <v>767</v>
      </c>
      <c r="D159" s="7">
        <v>501078484</v>
      </c>
      <c r="E159" s="7">
        <v>501078498</v>
      </c>
      <c r="F159" s="7" t="s">
        <v>768</v>
      </c>
      <c r="G159" s="7" t="s">
        <v>870</v>
      </c>
      <c r="H159" s="7"/>
      <c r="I159" s="7"/>
      <c r="J159" s="7" t="s">
        <v>745</v>
      </c>
      <c r="K159" s="7" t="s">
        <v>455</v>
      </c>
      <c r="L159" s="7">
        <v>103579449</v>
      </c>
      <c r="M159" s="33"/>
    </row>
    <row r="160" spans="1:13" ht="30" x14ac:dyDescent="0.25">
      <c r="A160" s="7" t="s">
        <v>769</v>
      </c>
      <c r="B160" s="47" t="s">
        <v>766</v>
      </c>
      <c r="C160" s="7" t="s">
        <v>770</v>
      </c>
      <c r="D160" s="7">
        <v>501131746</v>
      </c>
      <c r="E160" s="7">
        <v>501211965</v>
      </c>
      <c r="F160" s="7" t="s">
        <v>771</v>
      </c>
      <c r="G160" s="7"/>
      <c r="H160" s="7"/>
      <c r="I160" s="7"/>
      <c r="J160" s="7" t="s">
        <v>725</v>
      </c>
      <c r="K160" s="7" t="s">
        <v>455</v>
      </c>
      <c r="L160" s="7">
        <v>103802081</v>
      </c>
      <c r="M160" s="33"/>
    </row>
    <row r="161" spans="1:13" ht="75" x14ac:dyDescent="0.25">
      <c r="A161" s="7" t="s">
        <v>772</v>
      </c>
      <c r="B161" s="47" t="s">
        <v>766</v>
      </c>
      <c r="C161" s="7" t="s">
        <v>773</v>
      </c>
      <c r="D161" s="7">
        <v>501131749</v>
      </c>
      <c r="E161" s="7">
        <v>501187424</v>
      </c>
      <c r="F161" s="7" t="s">
        <v>774</v>
      </c>
      <c r="G161" s="7" t="s">
        <v>845</v>
      </c>
      <c r="H161" s="7"/>
      <c r="I161" s="7"/>
      <c r="J161" s="7" t="s">
        <v>752</v>
      </c>
      <c r="K161" s="7" t="s">
        <v>455</v>
      </c>
      <c r="L161" s="7">
        <v>103802081</v>
      </c>
      <c r="M161" s="33"/>
    </row>
    <row r="162" spans="1:13" ht="60" x14ac:dyDescent="0.25">
      <c r="A162" s="7" t="s">
        <v>775</v>
      </c>
      <c r="B162" s="47" t="s">
        <v>776</v>
      </c>
      <c r="C162" s="7" t="s">
        <v>777</v>
      </c>
      <c r="D162" s="7" t="s">
        <v>777</v>
      </c>
      <c r="E162" s="7" t="s">
        <v>852</v>
      </c>
      <c r="F162" s="7"/>
      <c r="G162" s="7"/>
      <c r="H162" s="7"/>
      <c r="I162" s="7"/>
      <c r="J162" s="7" t="s">
        <v>778</v>
      </c>
      <c r="K162" s="7" t="s">
        <v>455</v>
      </c>
      <c r="L162" s="7" t="s">
        <v>779</v>
      </c>
      <c r="M162" s="33"/>
    </row>
    <row r="163" spans="1:13" ht="180" x14ac:dyDescent="0.25">
      <c r="A163" s="7" t="s">
        <v>780</v>
      </c>
      <c r="B163" s="8" t="s">
        <v>781</v>
      </c>
      <c r="C163" s="7" t="s">
        <v>782</v>
      </c>
      <c r="D163" s="7">
        <v>501394385</v>
      </c>
      <c r="E163" s="7">
        <v>501441496</v>
      </c>
      <c r="F163" s="7"/>
      <c r="G163" s="7"/>
      <c r="H163" s="7"/>
      <c r="I163" s="7"/>
      <c r="J163" s="7" t="s">
        <v>783</v>
      </c>
      <c r="K163" s="7" t="s">
        <v>455</v>
      </c>
      <c r="L163" s="40">
        <v>103328924</v>
      </c>
      <c r="M163" s="33"/>
    </row>
    <row r="164" spans="1:13" ht="60" x14ac:dyDescent="0.25">
      <c r="A164" s="7" t="s">
        <v>784</v>
      </c>
      <c r="B164" s="8" t="s">
        <v>785</v>
      </c>
      <c r="C164" s="7" t="s">
        <v>786</v>
      </c>
      <c r="D164" s="7">
        <v>501046850</v>
      </c>
      <c r="E164" s="7">
        <v>501060659</v>
      </c>
      <c r="F164" s="7" t="s">
        <v>848</v>
      </c>
      <c r="G164" s="7"/>
      <c r="H164" s="7"/>
      <c r="I164" s="7"/>
      <c r="J164" s="7" t="s">
        <v>787</v>
      </c>
      <c r="K164" s="7" t="s">
        <v>455</v>
      </c>
      <c r="L164" s="40">
        <v>103579449</v>
      </c>
      <c r="M164" s="33"/>
    </row>
    <row r="165" spans="1:13" ht="127.5" x14ac:dyDescent="0.25">
      <c r="A165" s="7" t="s">
        <v>788</v>
      </c>
      <c r="B165" s="8" t="s">
        <v>457</v>
      </c>
      <c r="C165" s="7" t="s">
        <v>789</v>
      </c>
      <c r="D165" s="7">
        <v>501299670</v>
      </c>
      <c r="E165" s="7">
        <v>501299697</v>
      </c>
      <c r="F165" s="53" t="s">
        <v>790</v>
      </c>
      <c r="G165" s="53" t="s">
        <v>847</v>
      </c>
      <c r="H165" s="53"/>
      <c r="I165" s="7"/>
      <c r="J165" s="7" t="s">
        <v>787</v>
      </c>
      <c r="K165" s="7" t="s">
        <v>455</v>
      </c>
      <c r="L165" s="48">
        <v>501106382</v>
      </c>
      <c r="M165" s="33"/>
    </row>
    <row r="166" spans="1:13" ht="60" x14ac:dyDescent="0.25">
      <c r="A166" s="7" t="s">
        <v>791</v>
      </c>
      <c r="B166" s="8" t="s">
        <v>473</v>
      </c>
      <c r="C166" s="7" t="s">
        <v>792</v>
      </c>
      <c r="D166" s="7">
        <v>103853845</v>
      </c>
      <c r="E166" s="7">
        <v>103853848</v>
      </c>
      <c r="F166" s="7" t="s">
        <v>793</v>
      </c>
      <c r="G166" s="7"/>
      <c r="H166" s="7"/>
      <c r="I166" s="7"/>
      <c r="J166" s="7" t="s">
        <v>745</v>
      </c>
      <c r="K166" s="7" t="s">
        <v>455</v>
      </c>
      <c r="L166" s="7">
        <v>103720428</v>
      </c>
      <c r="M166" s="33"/>
    </row>
    <row r="167" spans="1:13" ht="45" x14ac:dyDescent="0.25">
      <c r="A167" s="7" t="s">
        <v>794</v>
      </c>
      <c r="B167" s="8" t="s">
        <v>451</v>
      </c>
      <c r="C167" s="7" t="s">
        <v>795</v>
      </c>
      <c r="D167" s="7">
        <v>103882633</v>
      </c>
      <c r="E167" s="7">
        <v>103882637</v>
      </c>
      <c r="F167" s="7" t="s">
        <v>796</v>
      </c>
      <c r="G167" s="7" t="s">
        <v>871</v>
      </c>
      <c r="H167" s="7"/>
      <c r="I167" s="7"/>
      <c r="J167" s="7" t="s">
        <v>752</v>
      </c>
      <c r="K167" s="7" t="s">
        <v>455</v>
      </c>
      <c r="L167" s="7">
        <v>103720428</v>
      </c>
      <c r="M167" s="33"/>
    </row>
    <row r="168" spans="1:13" ht="45" x14ac:dyDescent="0.25">
      <c r="A168" s="7" t="s">
        <v>797</v>
      </c>
      <c r="B168" s="8" t="s">
        <v>473</v>
      </c>
      <c r="C168" s="7" t="s">
        <v>798</v>
      </c>
      <c r="D168" s="7">
        <v>500977319</v>
      </c>
      <c r="E168" s="7">
        <v>501067925</v>
      </c>
      <c r="F168" s="7" t="s">
        <v>799</v>
      </c>
      <c r="G168" s="7" t="s">
        <v>865</v>
      </c>
      <c r="H168" s="7"/>
      <c r="I168" s="7"/>
      <c r="J168" s="7" t="s">
        <v>745</v>
      </c>
      <c r="K168" s="7" t="s">
        <v>455</v>
      </c>
      <c r="L168" s="7">
        <v>103579449</v>
      </c>
      <c r="M168" s="33"/>
    </row>
    <row r="169" spans="1:13" ht="45" x14ac:dyDescent="0.25">
      <c r="A169" s="7" t="s">
        <v>800</v>
      </c>
      <c r="B169" s="8" t="s">
        <v>457</v>
      </c>
      <c r="C169" s="7" t="s">
        <v>801</v>
      </c>
      <c r="D169" s="7">
        <v>501242519</v>
      </c>
      <c r="E169" s="7">
        <v>501314293</v>
      </c>
      <c r="F169" s="7" t="s">
        <v>802</v>
      </c>
      <c r="G169" s="7" t="s">
        <v>846</v>
      </c>
      <c r="H169" s="7"/>
      <c r="I169" s="7"/>
      <c r="J169" s="7" t="s">
        <v>803</v>
      </c>
      <c r="K169" s="7" t="s">
        <v>455</v>
      </c>
      <c r="L169" s="7">
        <v>501106390</v>
      </c>
      <c r="M169" s="33"/>
    </row>
    <row r="170" spans="1:13" ht="45" x14ac:dyDescent="0.25">
      <c r="A170" s="7" t="s">
        <v>804</v>
      </c>
      <c r="B170" s="8" t="s">
        <v>473</v>
      </c>
      <c r="C170" s="7" t="s">
        <v>805</v>
      </c>
      <c r="D170" s="7">
        <v>103870363</v>
      </c>
      <c r="E170" s="7">
        <v>103870371</v>
      </c>
      <c r="F170" s="7" t="s">
        <v>806</v>
      </c>
      <c r="G170" s="7"/>
      <c r="H170" s="7"/>
      <c r="I170" s="7"/>
      <c r="J170" s="7" t="s">
        <v>745</v>
      </c>
      <c r="K170" s="7" t="s">
        <v>455</v>
      </c>
      <c r="L170" s="7">
        <v>103579449</v>
      </c>
      <c r="M170" s="33"/>
    </row>
    <row r="171" spans="1:13" ht="30" x14ac:dyDescent="0.25">
      <c r="A171" s="7" t="s">
        <v>807</v>
      </c>
      <c r="B171" s="8" t="s">
        <v>473</v>
      </c>
      <c r="C171" s="7" t="s">
        <v>808</v>
      </c>
      <c r="D171" s="7">
        <v>103870338</v>
      </c>
      <c r="E171" s="7">
        <v>103870343</v>
      </c>
      <c r="F171" s="7"/>
      <c r="G171" s="7"/>
      <c r="H171" s="7"/>
      <c r="I171" s="7"/>
      <c r="J171" s="7" t="s">
        <v>809</v>
      </c>
      <c r="K171" s="7" t="s">
        <v>455</v>
      </c>
      <c r="L171" s="7">
        <v>103579449</v>
      </c>
      <c r="M171" s="33"/>
    </row>
    <row r="172" spans="1:13" ht="30" x14ac:dyDescent="0.25">
      <c r="A172" s="7" t="s">
        <v>810</v>
      </c>
      <c r="B172" s="8" t="s">
        <v>22</v>
      </c>
      <c r="C172" s="7" t="s">
        <v>811</v>
      </c>
      <c r="D172" s="7" t="s">
        <v>811</v>
      </c>
      <c r="E172" s="7" t="s">
        <v>867</v>
      </c>
      <c r="F172" s="7" t="s">
        <v>812</v>
      </c>
      <c r="G172" s="7"/>
      <c r="H172" s="70" t="s">
        <v>936</v>
      </c>
      <c r="I172" s="7">
        <v>103847694</v>
      </c>
      <c r="J172" s="7" t="s">
        <v>813</v>
      </c>
      <c r="K172" s="7" t="s">
        <v>814</v>
      </c>
      <c r="L172" s="7">
        <v>103397278</v>
      </c>
      <c r="M172" s="33"/>
    </row>
    <row r="173" spans="1:13" ht="75" x14ac:dyDescent="0.25">
      <c r="A173" s="7" t="s">
        <v>522</v>
      </c>
      <c r="B173" s="49" t="s">
        <v>457</v>
      </c>
      <c r="C173" s="7" t="s">
        <v>815</v>
      </c>
      <c r="D173" s="7" t="s">
        <v>815</v>
      </c>
      <c r="E173" s="7" t="s">
        <v>872</v>
      </c>
      <c r="F173" s="7" t="s">
        <v>816</v>
      </c>
      <c r="G173" s="7"/>
      <c r="H173" s="7"/>
      <c r="I173" s="7" t="s">
        <v>155</v>
      </c>
      <c r="J173" s="7" t="s">
        <v>817</v>
      </c>
      <c r="K173" s="7" t="s">
        <v>455</v>
      </c>
      <c r="L173" s="7">
        <v>103815968</v>
      </c>
      <c r="M173" s="33"/>
    </row>
    <row r="174" spans="1:13" ht="90" x14ac:dyDescent="0.25">
      <c r="A174" s="7" t="s">
        <v>818</v>
      </c>
      <c r="B174" s="8" t="s">
        <v>473</v>
      </c>
      <c r="C174" s="7" t="s">
        <v>819</v>
      </c>
      <c r="D174" s="7" t="s">
        <v>819</v>
      </c>
      <c r="E174" s="7" t="s">
        <v>873</v>
      </c>
      <c r="F174" s="7" t="s">
        <v>820</v>
      </c>
      <c r="G174" s="7"/>
      <c r="H174" s="7"/>
      <c r="I174" s="7" t="s">
        <v>155</v>
      </c>
      <c r="J174" s="7" t="s">
        <v>821</v>
      </c>
      <c r="K174" s="7" t="s">
        <v>455</v>
      </c>
      <c r="L174" s="7">
        <v>103815968</v>
      </c>
      <c r="M174" s="33"/>
    </row>
    <row r="175" spans="1:13" ht="30" x14ac:dyDescent="0.25">
      <c r="A175" s="7" t="s">
        <v>822</v>
      </c>
      <c r="B175" s="8" t="s">
        <v>22</v>
      </c>
      <c r="C175" s="7" t="s">
        <v>823</v>
      </c>
      <c r="D175" s="7" t="s">
        <v>823</v>
      </c>
      <c r="E175" s="7">
        <v>501471822</v>
      </c>
      <c r="F175" s="7" t="s">
        <v>824</v>
      </c>
      <c r="G175" s="7"/>
      <c r="H175" s="70" t="s">
        <v>937</v>
      </c>
      <c r="I175" s="7">
        <v>103786062</v>
      </c>
      <c r="J175" s="7" t="s">
        <v>825</v>
      </c>
      <c r="K175" s="7" t="s">
        <v>826</v>
      </c>
      <c r="L175" s="7">
        <v>103572163</v>
      </c>
      <c r="M175" s="33"/>
    </row>
    <row r="176" spans="1:13" ht="90" x14ac:dyDescent="0.25">
      <c r="A176" s="7" t="s">
        <v>827</v>
      </c>
      <c r="B176" s="8" t="s">
        <v>473</v>
      </c>
      <c r="C176" s="7" t="s">
        <v>828</v>
      </c>
      <c r="D176" s="7" t="s">
        <v>828</v>
      </c>
      <c r="E176" s="7" t="s">
        <v>874</v>
      </c>
      <c r="F176" s="7" t="s">
        <v>829</v>
      </c>
      <c r="G176" s="7"/>
      <c r="H176" s="7"/>
      <c r="I176" s="7" t="s">
        <v>155</v>
      </c>
      <c r="J176" s="7" t="s">
        <v>830</v>
      </c>
      <c r="K176" s="7" t="s">
        <v>455</v>
      </c>
      <c r="L176" s="7">
        <v>103573377</v>
      </c>
      <c r="M176" s="33"/>
    </row>
    <row r="177" spans="1:13" ht="30" x14ac:dyDescent="0.25">
      <c r="A177" s="7" t="s">
        <v>831</v>
      </c>
      <c r="B177" s="8" t="s">
        <v>451</v>
      </c>
      <c r="C177" s="7" t="s">
        <v>832</v>
      </c>
      <c r="D177" s="7" t="s">
        <v>832</v>
      </c>
      <c r="E177" s="7">
        <v>501289314</v>
      </c>
      <c r="F177" s="7" t="s">
        <v>833</v>
      </c>
      <c r="G177" s="7"/>
      <c r="H177" s="7"/>
      <c r="I177" s="7" t="s">
        <v>155</v>
      </c>
      <c r="J177" s="7" t="s">
        <v>834</v>
      </c>
      <c r="K177" s="7" t="s">
        <v>455</v>
      </c>
      <c r="L177" s="7">
        <v>501154997</v>
      </c>
      <c r="M177" s="33"/>
    </row>
  </sheetData>
  <conditionalFormatting sqref="I73">
    <cfRule type="duplicateValues" dxfId="0" priority="1"/>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F52EE8-3EFB-4E67-A1B5-96CBF5461D3D}">
  <dimension ref="A1:K49"/>
  <sheetViews>
    <sheetView workbookViewId="0">
      <selection activeCell="K1" sqref="K1"/>
    </sheetView>
  </sheetViews>
  <sheetFormatPr defaultRowHeight="15" x14ac:dyDescent="0.25"/>
  <cols>
    <col min="1" max="1" width="18.7109375" customWidth="1"/>
    <col min="2" max="2" width="13.28515625" customWidth="1"/>
    <col min="4" max="4" width="12.42578125" customWidth="1"/>
    <col min="5" max="5" width="13.85546875" customWidth="1"/>
    <col min="10" max="10" width="11.140625" customWidth="1"/>
    <col min="11" max="11" width="11.28515625" customWidth="1"/>
  </cols>
  <sheetData>
    <row r="1" spans="1:11" ht="409.5" x14ac:dyDescent="0.25">
      <c r="A1" s="60">
        <v>121708500</v>
      </c>
      <c r="B1" s="1" t="str">
        <f>_xlfn.TEXTJOIN(CHAR(10),TRUE, A1:A49)</f>
        <v>121708500
121715500
121720500
121725500
121730500
121735500
121740500
121745500
121750500
121755500
121760500
121765500
121770500
121710150
121710154
121710158
121710162
121710166
121710170
121715250
121715254
121715258
121715262
121715266
121715270
121720350
121720354
121720358
121720362
121720366
121720370
121730450
121730454
121730458
121730462
121730466
121730470
121700156
121700162
121700168
121700256
121700262
121700268
121700356
121700362
121700368
121700105
121700110
121700115</v>
      </c>
      <c r="D1" s="60">
        <v>137648000</v>
      </c>
      <c r="E1" s="1" t="str">
        <f>_xlfn.TEXTJOIN(CHAR(10), TRUE, D1:D31)</f>
        <v>137648000
137647000
137646000
137638000
137637000
137629000
137622000
137621000
137620000
137636000
137627000
137626000
137630000
546022000
546020000
546018000
546016000
546014000
546012000
546010000
546112000
546110000
961210500
961212500
961214500
961216500
961218500
961220500
961226000
961246000
1042986220</v>
      </c>
      <c r="G1">
        <v>222295</v>
      </c>
      <c r="H1" s="1" t="str">
        <f>_xlfn.TEXTJOIN(CHAR(10), TRUE, G1:G12)</f>
        <v>222295
222296
222297
222298
222299
222300
222301
222302
222319
222320
222323
222324</v>
      </c>
      <c r="J1">
        <v>187150015</v>
      </c>
      <c r="K1" s="1" t="str">
        <f>_xlfn.TEXTJOIN(CHAR(10), TRUE, J1:J11)</f>
        <v>187150015
187150017
187150019
187150021
187150023
187150025
187155021
187155024
187155028
187155032
187155036</v>
      </c>
    </row>
    <row r="2" spans="1:11" x14ac:dyDescent="0.25">
      <c r="A2" s="60">
        <v>121715500</v>
      </c>
      <c r="D2" s="60">
        <v>137647000</v>
      </c>
      <c r="G2">
        <v>222296</v>
      </c>
      <c r="J2">
        <v>187150017</v>
      </c>
    </row>
    <row r="3" spans="1:11" x14ac:dyDescent="0.25">
      <c r="A3" s="60">
        <v>121720500</v>
      </c>
      <c r="D3" s="60">
        <v>137646000</v>
      </c>
      <c r="G3">
        <v>222297</v>
      </c>
      <c r="J3">
        <v>187150019</v>
      </c>
    </row>
    <row r="4" spans="1:11" x14ac:dyDescent="0.25">
      <c r="A4" s="60">
        <v>121725500</v>
      </c>
      <c r="D4" s="60">
        <v>137638000</v>
      </c>
      <c r="G4">
        <v>222298</v>
      </c>
      <c r="J4">
        <v>187150021</v>
      </c>
    </row>
    <row r="5" spans="1:11" x14ac:dyDescent="0.25">
      <c r="A5" s="60">
        <v>121730500</v>
      </c>
      <c r="D5" s="60">
        <v>137637000</v>
      </c>
      <c r="G5">
        <v>222299</v>
      </c>
      <c r="J5">
        <v>187150023</v>
      </c>
    </row>
    <row r="6" spans="1:11" x14ac:dyDescent="0.25">
      <c r="A6" s="60">
        <v>121735500</v>
      </c>
      <c r="D6" s="60">
        <v>137629000</v>
      </c>
      <c r="G6">
        <v>222300</v>
      </c>
      <c r="J6">
        <v>187150025</v>
      </c>
    </row>
    <row r="7" spans="1:11" x14ac:dyDescent="0.25">
      <c r="A7" s="60">
        <v>121740500</v>
      </c>
      <c r="D7" s="60">
        <v>137622000</v>
      </c>
      <c r="G7">
        <v>222301</v>
      </c>
      <c r="J7">
        <v>187155021</v>
      </c>
    </row>
    <row r="8" spans="1:11" x14ac:dyDescent="0.25">
      <c r="A8" s="60">
        <v>121745500</v>
      </c>
      <c r="D8" s="60">
        <v>137621000</v>
      </c>
      <c r="G8">
        <v>222302</v>
      </c>
      <c r="J8">
        <v>187155024</v>
      </c>
    </row>
    <row r="9" spans="1:11" x14ac:dyDescent="0.25">
      <c r="A9" s="60">
        <v>121750500</v>
      </c>
      <c r="D9" s="60">
        <v>137620000</v>
      </c>
      <c r="G9">
        <v>222319</v>
      </c>
      <c r="J9">
        <v>187155028</v>
      </c>
    </row>
    <row r="10" spans="1:11" x14ac:dyDescent="0.25">
      <c r="A10" s="60">
        <v>121755500</v>
      </c>
      <c r="D10" s="60">
        <v>137636000</v>
      </c>
      <c r="G10">
        <v>222320</v>
      </c>
      <c r="J10">
        <v>187155032</v>
      </c>
    </row>
    <row r="11" spans="1:11" x14ac:dyDescent="0.25">
      <c r="A11" s="60">
        <v>121760500</v>
      </c>
      <c r="D11" s="60">
        <v>137627000</v>
      </c>
      <c r="G11">
        <v>222323</v>
      </c>
      <c r="J11">
        <v>187155036</v>
      </c>
    </row>
    <row r="12" spans="1:11" x14ac:dyDescent="0.25">
      <c r="A12" s="60">
        <v>121765500</v>
      </c>
      <c r="D12" s="60">
        <v>137626000</v>
      </c>
      <c r="G12">
        <v>222324</v>
      </c>
    </row>
    <row r="13" spans="1:11" x14ac:dyDescent="0.25">
      <c r="A13" s="60">
        <v>121770500</v>
      </c>
      <c r="D13" s="60">
        <v>137630000</v>
      </c>
    </row>
    <row r="14" spans="1:11" x14ac:dyDescent="0.25">
      <c r="A14" s="60">
        <v>121710150</v>
      </c>
      <c r="D14" s="60">
        <v>546022000</v>
      </c>
    </row>
    <row r="15" spans="1:11" x14ac:dyDescent="0.25">
      <c r="A15" s="60">
        <v>121710154</v>
      </c>
      <c r="D15" s="60">
        <v>546020000</v>
      </c>
    </row>
    <row r="16" spans="1:11" x14ac:dyDescent="0.25">
      <c r="A16" s="60">
        <v>121710158</v>
      </c>
      <c r="D16" s="60">
        <v>546018000</v>
      </c>
    </row>
    <row r="17" spans="1:4" x14ac:dyDescent="0.25">
      <c r="A17" s="60">
        <v>121710162</v>
      </c>
      <c r="D17" s="60">
        <v>546016000</v>
      </c>
    </row>
    <row r="18" spans="1:4" x14ac:dyDescent="0.25">
      <c r="A18" s="60">
        <v>121710166</v>
      </c>
      <c r="D18" s="60">
        <v>546014000</v>
      </c>
    </row>
    <row r="19" spans="1:4" x14ac:dyDescent="0.25">
      <c r="A19" s="60">
        <v>121710170</v>
      </c>
      <c r="D19" s="60">
        <v>546012000</v>
      </c>
    </row>
    <row r="20" spans="1:4" x14ac:dyDescent="0.25">
      <c r="A20" s="60">
        <v>121715250</v>
      </c>
      <c r="D20" s="60">
        <v>546010000</v>
      </c>
    </row>
    <row r="21" spans="1:4" x14ac:dyDescent="0.25">
      <c r="A21" s="60">
        <v>121715254</v>
      </c>
      <c r="D21" s="60">
        <v>546112000</v>
      </c>
    </row>
    <row r="22" spans="1:4" x14ac:dyDescent="0.25">
      <c r="A22" s="60">
        <v>121715258</v>
      </c>
      <c r="D22" s="60">
        <v>546110000</v>
      </c>
    </row>
    <row r="23" spans="1:4" x14ac:dyDescent="0.25">
      <c r="A23" s="60">
        <v>121715262</v>
      </c>
      <c r="D23" s="60">
        <v>961210500</v>
      </c>
    </row>
    <row r="24" spans="1:4" x14ac:dyDescent="0.25">
      <c r="A24" s="60">
        <v>121715266</v>
      </c>
      <c r="D24" s="60">
        <v>961212500</v>
      </c>
    </row>
    <row r="25" spans="1:4" x14ac:dyDescent="0.25">
      <c r="A25" s="60">
        <v>121715270</v>
      </c>
      <c r="D25" s="60">
        <v>961214500</v>
      </c>
    </row>
    <row r="26" spans="1:4" x14ac:dyDescent="0.25">
      <c r="A26" s="60">
        <v>121720350</v>
      </c>
      <c r="D26" s="60">
        <v>961216500</v>
      </c>
    </row>
    <row r="27" spans="1:4" x14ac:dyDescent="0.25">
      <c r="A27" s="60">
        <v>121720354</v>
      </c>
      <c r="D27" s="60">
        <v>961218500</v>
      </c>
    </row>
    <row r="28" spans="1:4" x14ac:dyDescent="0.25">
      <c r="A28" s="60">
        <v>121720358</v>
      </c>
      <c r="D28" s="60">
        <v>961220500</v>
      </c>
    </row>
    <row r="29" spans="1:4" x14ac:dyDescent="0.25">
      <c r="A29" s="60">
        <v>121720362</v>
      </c>
      <c r="D29" s="60">
        <v>961226000</v>
      </c>
    </row>
    <row r="30" spans="1:4" x14ac:dyDescent="0.25">
      <c r="A30" s="60">
        <v>121720366</v>
      </c>
      <c r="D30" s="60">
        <v>961246000</v>
      </c>
    </row>
    <row r="31" spans="1:4" x14ac:dyDescent="0.25">
      <c r="A31" s="60">
        <v>121720370</v>
      </c>
      <c r="D31" s="60">
        <v>1042986220</v>
      </c>
    </row>
    <row r="32" spans="1:4" x14ac:dyDescent="0.25">
      <c r="A32" s="60">
        <v>121730450</v>
      </c>
    </row>
    <row r="33" spans="1:1" x14ac:dyDescent="0.25">
      <c r="A33" s="60">
        <v>121730454</v>
      </c>
    </row>
    <row r="34" spans="1:1" x14ac:dyDescent="0.25">
      <c r="A34" s="60">
        <v>121730458</v>
      </c>
    </row>
    <row r="35" spans="1:1" x14ac:dyDescent="0.25">
      <c r="A35" s="60">
        <v>121730462</v>
      </c>
    </row>
    <row r="36" spans="1:1" x14ac:dyDescent="0.25">
      <c r="A36" s="60">
        <v>121730466</v>
      </c>
    </row>
    <row r="37" spans="1:1" x14ac:dyDescent="0.25">
      <c r="A37" s="60">
        <v>121730470</v>
      </c>
    </row>
    <row r="38" spans="1:1" x14ac:dyDescent="0.25">
      <c r="A38" s="60">
        <v>121700156</v>
      </c>
    </row>
    <row r="39" spans="1:1" x14ac:dyDescent="0.25">
      <c r="A39" s="60">
        <v>121700162</v>
      </c>
    </row>
    <row r="40" spans="1:1" x14ac:dyDescent="0.25">
      <c r="A40" s="60">
        <v>121700168</v>
      </c>
    </row>
    <row r="41" spans="1:1" x14ac:dyDescent="0.25">
      <c r="A41" s="60">
        <v>121700256</v>
      </c>
    </row>
    <row r="42" spans="1:1" x14ac:dyDescent="0.25">
      <c r="A42" s="60">
        <v>121700262</v>
      </c>
    </row>
    <row r="43" spans="1:1" x14ac:dyDescent="0.25">
      <c r="A43" s="60">
        <v>121700268</v>
      </c>
    </row>
    <row r="44" spans="1:1" x14ac:dyDescent="0.25">
      <c r="A44" s="60">
        <v>121700356</v>
      </c>
    </row>
    <row r="45" spans="1:1" x14ac:dyDescent="0.25">
      <c r="A45" s="60">
        <v>121700362</v>
      </c>
    </row>
    <row r="46" spans="1:1" x14ac:dyDescent="0.25">
      <c r="A46" s="60">
        <v>121700368</v>
      </c>
    </row>
    <row r="47" spans="1:1" x14ac:dyDescent="0.25">
      <c r="A47" s="60">
        <v>121700105</v>
      </c>
    </row>
    <row r="48" spans="1:1" x14ac:dyDescent="0.25">
      <c r="A48" s="60">
        <v>121700110</v>
      </c>
    </row>
    <row r="49" spans="1:1" x14ac:dyDescent="0.25">
      <c r="A49" s="60">
        <v>121700115</v>
      </c>
    </row>
  </sheetData>
  <pageMargins left="0.7" right="0.7" top="0.75" bottom="0.75" header="0.3" footer="0.3"/>
</worksheet>
</file>

<file path=docMetadata/LabelInfo.xml><?xml version="1.0" encoding="utf-8"?>
<clbl:labelList xmlns:clbl="http://schemas.microsoft.com/office/2020/mipLabelMetadata">
  <clbl:label id="{3ca48ea3-8c75-4d36-b64f-70604b11fd22}" enabled="1" method="Standard" siteId="{3ac94b33-9135-4821-9502-eafda6592a3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Asif, Aiza [DPYGB]</dc:creator>
  <cp:keywords/>
  <dc:description/>
  <cp:lastModifiedBy>Asif, Aiza [DPYGB]</cp:lastModifiedBy>
  <cp:revision/>
  <dcterms:created xsi:type="dcterms:W3CDTF">2015-06-05T18:17:20Z</dcterms:created>
  <dcterms:modified xsi:type="dcterms:W3CDTF">2026-07-14T14:17:08Z</dcterms:modified>
  <cp:category/>
  <cp:contentStatus/>
</cp:coreProperties>
</file>